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marie\Desktop\CSRN\Championnats canadien 2026\SERC\"/>
    </mc:Choice>
  </mc:AlternateContent>
  <xr:revisionPtr revIDLastSave="0" documentId="13_ncr:1_{2277E33D-A8D9-47B6-B5B1-0030274A609D}" xr6:coauthVersionLast="47" xr6:coauthVersionMax="47" xr10:uidLastSave="{00000000-0000-0000-0000-000000000000}"/>
  <bookViews>
    <workbookView xWindow="-110" yWindow="-110" windowWidth="25820" windowHeight="15500" tabRatio="610" activeTab="3" xr2:uid="{00000000-000D-0000-FFFF-FFFF00000000}"/>
  </bookViews>
  <sheets>
    <sheet name="Factor Sheet" sheetId="2" r:id="rId1"/>
    <sheet name="Drop Down Info" sheetId="1" state="hidden" r:id="rId2"/>
    <sheet name="Team Entry" sheetId="3" r:id="rId3"/>
    <sheet name="Scoring" sheetId="4" r:id="rId4"/>
    <sheet name="OVERALL" sheetId="5" r:id="rId5"/>
    <sheet name="VICTIM_1" sheetId="6" r:id="rId6"/>
    <sheet name="VICTIM_2" sheetId="7" r:id="rId7"/>
    <sheet name="VICTIM_3" sheetId="8" r:id="rId8"/>
    <sheet name="VICTIM_4" sheetId="9" r:id="rId9"/>
    <sheet name="VICTIM_5" sheetId="10" r:id="rId10"/>
    <sheet name="VICTIM_6" sheetId="11" r:id="rId11"/>
    <sheet name="VICTIM_7" sheetId="12" r:id="rId12"/>
    <sheet name="VICTIM_8" sheetId="13" r:id="rId13"/>
    <sheet name="VICTIM_9" sheetId="14" r:id="rId14"/>
    <sheet name="BYSTANDER" sheetId="15" r:id="rId1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32" i="15" l="1"/>
  <c r="A31" i="15"/>
  <c r="A27" i="15"/>
  <c r="A26" i="15"/>
  <c r="A22" i="15"/>
  <c r="A21" i="15"/>
  <c r="A17" i="15"/>
  <c r="A16" i="15"/>
  <c r="A12" i="15"/>
  <c r="A11" i="15"/>
  <c r="A8" i="15"/>
  <c r="A6" i="15"/>
  <c r="A5" i="15"/>
  <c r="A32" i="14"/>
  <c r="A27" i="14"/>
  <c r="A22" i="14"/>
  <c r="A17" i="14"/>
  <c r="A12" i="14"/>
  <c r="A8" i="14"/>
  <c r="A6" i="14"/>
  <c r="A5" i="14"/>
  <c r="A1" i="14"/>
  <c r="A32" i="13"/>
  <c r="A27" i="13"/>
  <c r="A22" i="13"/>
  <c r="A17" i="13"/>
  <c r="A12" i="13"/>
  <c r="A8" i="13"/>
  <c r="A6" i="13"/>
  <c r="A5" i="13"/>
  <c r="A1" i="13"/>
  <c r="A32" i="12"/>
  <c r="A27" i="12"/>
  <c r="A22" i="12"/>
  <c r="A17" i="12"/>
  <c r="A12" i="12"/>
  <c r="A8" i="12"/>
  <c r="A6" i="12"/>
  <c r="A5" i="12"/>
  <c r="A1" i="12"/>
  <c r="A32" i="11"/>
  <c r="A27" i="11"/>
  <c r="A22" i="11"/>
  <c r="A17" i="11"/>
  <c r="A12" i="11"/>
  <c r="A8" i="11"/>
  <c r="A6" i="11"/>
  <c r="A5" i="11"/>
  <c r="A1" i="11"/>
  <c r="A32" i="10"/>
  <c r="A27" i="10"/>
  <c r="A22" i="10"/>
  <c r="A17" i="10"/>
  <c r="A12" i="10"/>
  <c r="A8" i="10"/>
  <c r="A6" i="10"/>
  <c r="A5" i="10"/>
  <c r="A1" i="10"/>
  <c r="A32" i="9"/>
  <c r="A27" i="9"/>
  <c r="A22" i="9"/>
  <c r="A17" i="9"/>
  <c r="A12" i="9"/>
  <c r="A8" i="9"/>
  <c r="A6" i="9"/>
  <c r="A5" i="9"/>
  <c r="A1" i="9"/>
  <c r="A32" i="8"/>
  <c r="A27" i="8"/>
  <c r="A22" i="8"/>
  <c r="A17" i="8"/>
  <c r="A12" i="8"/>
  <c r="A8" i="8"/>
  <c r="A6" i="8"/>
  <c r="A5" i="8"/>
  <c r="A1" i="8"/>
  <c r="A32" i="7"/>
  <c r="A27" i="7"/>
  <c r="A22" i="7"/>
  <c r="A17" i="7"/>
  <c r="A12" i="7"/>
  <c r="A8" i="7"/>
  <c r="A6" i="7"/>
  <c r="A5" i="7"/>
  <c r="A1" i="7"/>
  <c r="A32" i="6"/>
  <c r="A27" i="6"/>
  <c r="A22" i="6"/>
  <c r="A17" i="6"/>
  <c r="A12" i="6"/>
  <c r="A8" i="6"/>
  <c r="A6" i="6"/>
  <c r="A5" i="6"/>
  <c r="A1" i="6"/>
  <c r="G44" i="2" l="1"/>
  <c r="D19" i="4" s="1"/>
  <c r="F44" i="2"/>
  <c r="D18" i="4" s="1"/>
  <c r="E44" i="2"/>
  <c r="D17" i="4" s="1"/>
  <c r="D44" i="2"/>
  <c r="D16" i="4" s="1"/>
  <c r="C44" i="2"/>
  <c r="D15" i="4" s="1"/>
  <c r="A15" i="4"/>
  <c r="AB21" i="4" l="1"/>
  <c r="L21" i="4"/>
  <c r="J21" i="4"/>
  <c r="Y21" i="4"/>
  <c r="H21" i="4"/>
  <c r="W21" i="4"/>
  <c r="F21" i="4"/>
  <c r="AA21" i="4"/>
  <c r="K21" i="4"/>
  <c r="Z21" i="4"/>
  <c r="I21" i="4"/>
  <c r="G21" i="4"/>
  <c r="V21" i="4"/>
  <c r="O21" i="4"/>
  <c r="U21" i="4"/>
  <c r="AC21" i="4"/>
  <c r="X21" i="4"/>
  <c r="E21" i="4"/>
  <c r="T21" i="4"/>
  <c r="P21" i="4"/>
  <c r="M21" i="4"/>
  <c r="AH21" i="4"/>
  <c r="Q21" i="4"/>
  <c r="AF21" i="4"/>
  <c r="N21" i="4"/>
  <c r="R21" i="4"/>
  <c r="AD21" i="4"/>
  <c r="S21" i="4"/>
  <c r="AG21" i="4"/>
  <c r="AE21" i="4"/>
  <c r="AG4" i="4"/>
  <c r="AF4" i="4"/>
  <c r="AE4" i="4"/>
  <c r="AB4" i="4"/>
  <c r="Y4" i="4"/>
  <c r="U4" i="4"/>
  <c r="N4" i="4"/>
  <c r="M4" i="4"/>
  <c r="L4" i="4"/>
  <c r="K4" i="4"/>
  <c r="J4" i="4"/>
  <c r="I4" i="4"/>
  <c r="A8" i="4" l="1"/>
  <c r="AH1" i="4"/>
  <c r="AH4" i="4"/>
  <c r="AD4" i="4"/>
  <c r="AC4" i="4"/>
  <c r="AA4" i="4"/>
  <c r="Z4" i="4"/>
  <c r="X4" i="4"/>
  <c r="W4" i="4"/>
  <c r="V4" i="4"/>
  <c r="T4" i="4"/>
  <c r="S4" i="4"/>
  <c r="R4" i="4"/>
  <c r="Q4" i="4"/>
  <c r="P4" i="4"/>
  <c r="O4" i="4"/>
  <c r="H4" i="4"/>
  <c r="G4" i="4"/>
  <c r="F4" i="4"/>
  <c r="E4" i="4"/>
  <c r="B1" i="4" l="1"/>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I35" i="3" l="1"/>
  <c r="I33" i="3"/>
  <c r="I34" i="3"/>
  <c r="I31" i="3"/>
  <c r="I27" i="3"/>
  <c r="I23" i="3"/>
  <c r="I30" i="3"/>
  <c r="I26" i="3"/>
  <c r="I22" i="3"/>
  <c r="I29" i="3"/>
  <c r="I25" i="3"/>
  <c r="I21" i="3"/>
  <c r="I32" i="3"/>
  <c r="I28" i="3"/>
  <c r="I24" i="3"/>
  <c r="I19" i="3"/>
  <c r="I18" i="3"/>
  <c r="I17" i="3"/>
  <c r="I20" i="3"/>
  <c r="I16" i="3"/>
  <c r="I6" i="3"/>
  <c r="I15" i="3"/>
  <c r="I11" i="3"/>
  <c r="I7" i="3"/>
  <c r="I14" i="3"/>
  <c r="I10" i="3"/>
  <c r="I13" i="3"/>
  <c r="I9" i="3"/>
  <c r="I12" i="3"/>
  <c r="I8" i="3"/>
  <c r="L6" i="3" l="1"/>
  <c r="L13" i="3"/>
  <c r="L28" i="3"/>
  <c r="L27" i="3"/>
  <c r="L33" i="3"/>
  <c r="L35" i="3"/>
  <c r="L23" i="3"/>
  <c r="L16" i="3"/>
  <c r="L22" i="3"/>
  <c r="L18" i="3"/>
  <c r="L24" i="3"/>
  <c r="L7" i="3"/>
  <c r="L25" i="3"/>
  <c r="L15" i="3"/>
  <c r="L12" i="3"/>
  <c r="L9" i="3"/>
  <c r="L8" i="3"/>
  <c r="L29" i="3"/>
  <c r="L19" i="3"/>
  <c r="L32" i="3"/>
  <c r="L26" i="3"/>
  <c r="L10" i="3"/>
  <c r="L30" i="3"/>
  <c r="L21" i="3"/>
  <c r="L11" i="3"/>
  <c r="L17" i="3"/>
  <c r="L34" i="3"/>
  <c r="L20" i="3"/>
  <c r="L14" i="3"/>
  <c r="L31" i="3"/>
  <c r="A8" i="2"/>
  <c r="A7" i="2"/>
  <c r="A6" i="2"/>
  <c r="A5" i="2"/>
  <c r="A4" i="2"/>
  <c r="A3" i="2"/>
  <c r="A2" i="2"/>
  <c r="A9" i="2"/>
  <c r="A10" i="2"/>
  <c r="A11" i="2"/>
  <c r="A12" i="2"/>
  <c r="A13" i="2"/>
  <c r="A14" i="2"/>
  <c r="A15" i="2"/>
  <c r="A16" i="2"/>
  <c r="G22" i="2"/>
  <c r="F22" i="2"/>
  <c r="E22" i="2"/>
  <c r="D22" i="2"/>
  <c r="C22" i="2"/>
  <c r="G42" i="2" l="1"/>
  <c r="D12" i="4" s="1"/>
  <c r="F42" i="2"/>
  <c r="D11" i="4" s="1"/>
  <c r="E42" i="2"/>
  <c r="D10" i="4" s="1"/>
  <c r="D42" i="2"/>
  <c r="D9" i="4" s="1"/>
  <c r="C42" i="2"/>
  <c r="D8" i="4" s="1"/>
  <c r="AH14" i="4" l="1"/>
  <c r="AD14" i="4"/>
  <c r="Z14" i="4"/>
  <c r="V14" i="4"/>
  <c r="R14" i="4"/>
  <c r="N14" i="4"/>
  <c r="J14" i="4"/>
  <c r="F14" i="4"/>
  <c r="AB14" i="4"/>
  <c r="P14" i="4"/>
  <c r="H14" i="4"/>
  <c r="AE14" i="4"/>
  <c r="S14" i="4"/>
  <c r="G14" i="4"/>
  <c r="AG14" i="4"/>
  <c r="AC14" i="4"/>
  <c r="Y14" i="4"/>
  <c r="U14" i="4"/>
  <c r="Q14" i="4"/>
  <c r="M14" i="4"/>
  <c r="I14" i="4"/>
  <c r="E14" i="4"/>
  <c r="X14" i="4"/>
  <c r="T14" i="4"/>
  <c r="L14" i="4"/>
  <c r="AA14" i="4"/>
  <c r="O14" i="4"/>
  <c r="AF14" i="4"/>
  <c r="W14" i="4"/>
  <c r="K14" i="4"/>
  <c r="F2" i="2"/>
  <c r="F26" i="2" s="1"/>
  <c r="D25" i="4" s="1"/>
  <c r="C27" i="2"/>
  <c r="D29" i="4" s="1"/>
  <c r="D27" i="2"/>
  <c r="D30" i="4" s="1"/>
  <c r="E27" i="2"/>
  <c r="D31" i="4" s="1"/>
  <c r="C28" i="2"/>
  <c r="D36" i="4" s="1"/>
  <c r="D28" i="2"/>
  <c r="D37" i="4" s="1"/>
  <c r="E28" i="2"/>
  <c r="D38" i="4" s="1"/>
  <c r="C29" i="2"/>
  <c r="D43" i="4" s="1"/>
  <c r="D29" i="2"/>
  <c r="D44" i="4" s="1"/>
  <c r="E29" i="2"/>
  <c r="D45" i="4" s="1"/>
  <c r="C30" i="2"/>
  <c r="D50" i="4" s="1"/>
  <c r="D30" i="2"/>
  <c r="D51" i="4" s="1"/>
  <c r="E30" i="2"/>
  <c r="D52" i="4" s="1"/>
  <c r="C31" i="2"/>
  <c r="D57" i="4" s="1"/>
  <c r="D31" i="2"/>
  <c r="D58" i="4" s="1"/>
  <c r="E31" i="2"/>
  <c r="D59" i="4" s="1"/>
  <c r="C32" i="2"/>
  <c r="D64" i="4" s="1"/>
  <c r="D32" i="2"/>
  <c r="D65" i="4" s="1"/>
  <c r="E32" i="2"/>
  <c r="D66" i="4" s="1"/>
  <c r="C33" i="2"/>
  <c r="D71" i="4" s="1"/>
  <c r="D33" i="2"/>
  <c r="D72" i="4" s="1"/>
  <c r="E33" i="2"/>
  <c r="D73" i="4" s="1"/>
  <c r="C34" i="2"/>
  <c r="D78" i="4" s="1"/>
  <c r="D34" i="2"/>
  <c r="D79" i="4" s="1"/>
  <c r="E34" i="2"/>
  <c r="D80" i="4" s="1"/>
  <c r="C35" i="2"/>
  <c r="D85" i="4" s="1"/>
  <c r="D35" i="2"/>
  <c r="D86" i="4" s="1"/>
  <c r="E35" i="2"/>
  <c r="D87" i="4" s="1"/>
  <c r="C36" i="2"/>
  <c r="D92" i="4" s="1"/>
  <c r="D36" i="2"/>
  <c r="D93" i="4" s="1"/>
  <c r="E36" i="2"/>
  <c r="D94" i="4" s="1"/>
  <c r="C37" i="2"/>
  <c r="D99" i="4" s="1"/>
  <c r="D37" i="2"/>
  <c r="D100" i="4" s="1"/>
  <c r="E37" i="2"/>
  <c r="D101" i="4" s="1"/>
  <c r="C38" i="2"/>
  <c r="D106" i="4" s="1"/>
  <c r="D38" i="2"/>
  <c r="D107" i="4" s="1"/>
  <c r="E38" i="2"/>
  <c r="D108" i="4" s="1"/>
  <c r="C39" i="2"/>
  <c r="D113" i="4" s="1"/>
  <c r="D39" i="2"/>
  <c r="D114" i="4" s="1"/>
  <c r="E39" i="2"/>
  <c r="D115" i="4" s="1"/>
  <c r="C40" i="2"/>
  <c r="D120" i="4" s="1"/>
  <c r="D40" i="2"/>
  <c r="D121" i="4" s="1"/>
  <c r="E40" i="2"/>
  <c r="D122" i="4" s="1"/>
  <c r="D26" i="2"/>
  <c r="D23" i="4" s="1"/>
  <c r="E26" i="2"/>
  <c r="D24" i="4" s="1"/>
  <c r="C26" i="2"/>
  <c r="D22" i="4" s="1"/>
  <c r="B27" i="2"/>
  <c r="A29" i="4" s="1"/>
  <c r="B28" i="2"/>
  <c r="A36" i="4" s="1"/>
  <c r="B29" i="2"/>
  <c r="A43" i="4" s="1"/>
  <c r="B30" i="2"/>
  <c r="A50" i="4" s="1"/>
  <c r="B31" i="2"/>
  <c r="A57" i="4" s="1"/>
  <c r="B32" i="2"/>
  <c r="A64" i="4" s="1"/>
  <c r="B33" i="2"/>
  <c r="A71" i="4" s="1"/>
  <c r="B34" i="2"/>
  <c r="A78" i="4" s="1"/>
  <c r="B35" i="2"/>
  <c r="A85" i="4" s="1"/>
  <c r="B36" i="2"/>
  <c r="A92" i="4" s="1"/>
  <c r="B37" i="2"/>
  <c r="A99" i="4" s="1"/>
  <c r="B38" i="2"/>
  <c r="A106" i="4" s="1"/>
  <c r="B39" i="2"/>
  <c r="A113" i="4" s="1"/>
  <c r="B40" i="2"/>
  <c r="A120" i="4" s="1"/>
  <c r="B26" i="2"/>
  <c r="A22" i="4" s="1"/>
  <c r="F12" i="2"/>
  <c r="F36" i="2" s="1"/>
  <c r="D95" i="4" s="1"/>
  <c r="G12" i="2"/>
  <c r="G36" i="2" s="1"/>
  <c r="D96" i="4" s="1"/>
  <c r="F13" i="2"/>
  <c r="F37" i="2" s="1"/>
  <c r="D102" i="4" s="1"/>
  <c r="G13" i="2"/>
  <c r="G37" i="2" s="1"/>
  <c r="D103" i="4" s="1"/>
  <c r="F14" i="2"/>
  <c r="F38" i="2" s="1"/>
  <c r="D109" i="4" s="1"/>
  <c r="G14" i="2"/>
  <c r="G38" i="2" s="1"/>
  <c r="D110" i="4" s="1"/>
  <c r="F15" i="2"/>
  <c r="F39" i="2" s="1"/>
  <c r="D116" i="4" s="1"/>
  <c r="G15" i="2"/>
  <c r="G39" i="2" s="1"/>
  <c r="D117" i="4" s="1"/>
  <c r="F16" i="2"/>
  <c r="F40" i="2" s="1"/>
  <c r="D123" i="4" s="1"/>
  <c r="G16" i="2"/>
  <c r="G40" i="2" s="1"/>
  <c r="D124" i="4" s="1"/>
  <c r="G3" i="2"/>
  <c r="G27" i="2" s="1"/>
  <c r="D33" i="4" s="1"/>
  <c r="G4" i="2"/>
  <c r="G28" i="2" s="1"/>
  <c r="D40" i="4" s="1"/>
  <c r="G5" i="2"/>
  <c r="G29" i="2" s="1"/>
  <c r="D47" i="4" s="1"/>
  <c r="G6" i="2"/>
  <c r="G30" i="2" s="1"/>
  <c r="D54" i="4" s="1"/>
  <c r="G7" i="2"/>
  <c r="G31" i="2" s="1"/>
  <c r="D61" i="4" s="1"/>
  <c r="G8" i="2"/>
  <c r="G32" i="2" s="1"/>
  <c r="D68" i="4" s="1"/>
  <c r="G9" i="2"/>
  <c r="G33" i="2" s="1"/>
  <c r="D75" i="4" s="1"/>
  <c r="G10" i="2"/>
  <c r="G34" i="2" s="1"/>
  <c r="D82" i="4" s="1"/>
  <c r="G11" i="2"/>
  <c r="G35" i="2" s="1"/>
  <c r="D89" i="4" s="1"/>
  <c r="G2" i="2"/>
  <c r="G26" i="2" s="1"/>
  <c r="D26" i="4" s="1"/>
  <c r="F3" i="2"/>
  <c r="F27" i="2" s="1"/>
  <c r="D32" i="4" s="1"/>
  <c r="F4" i="2"/>
  <c r="F28" i="2" s="1"/>
  <c r="D39" i="4" s="1"/>
  <c r="F5" i="2"/>
  <c r="F29" i="2" s="1"/>
  <c r="D46" i="4" s="1"/>
  <c r="F6" i="2"/>
  <c r="F30" i="2" s="1"/>
  <c r="D53" i="4" s="1"/>
  <c r="F7" i="2"/>
  <c r="F31" i="2" s="1"/>
  <c r="D60" i="4" s="1"/>
  <c r="F8" i="2"/>
  <c r="F32" i="2" s="1"/>
  <c r="D67" i="4" s="1"/>
  <c r="F9" i="2"/>
  <c r="F33" i="2" s="1"/>
  <c r="D74" i="4" s="1"/>
  <c r="F10" i="2"/>
  <c r="F34" i="2" s="1"/>
  <c r="D81" i="4" s="1"/>
  <c r="F11" i="2"/>
  <c r="F35" i="2" s="1"/>
  <c r="D88" i="4" s="1"/>
  <c r="F126" i="4" l="1"/>
  <c r="T126" i="4"/>
  <c r="O126" i="4"/>
  <c r="X126" i="4"/>
  <c r="E126" i="4"/>
  <c r="S126" i="4"/>
  <c r="R126" i="4"/>
  <c r="Q126" i="4"/>
  <c r="P126" i="4"/>
  <c r="AE126" i="4"/>
  <c r="H126" i="4"/>
  <c r="AH126" i="4"/>
  <c r="N126" i="4"/>
  <c r="L126" i="4"/>
  <c r="J126" i="4"/>
  <c r="W126" i="4"/>
  <c r="AG126" i="4"/>
  <c r="M126" i="4"/>
  <c r="I126" i="4"/>
  <c r="AF126" i="4"/>
  <c r="Z126" i="4"/>
  <c r="AD126" i="4"/>
  <c r="AC126" i="4"/>
  <c r="K126" i="4"/>
  <c r="U126" i="4"/>
  <c r="AB126" i="4"/>
  <c r="V126" i="4"/>
  <c r="AA126" i="4"/>
  <c r="Y126" i="4"/>
  <c r="G126" i="4"/>
  <c r="AF119" i="4"/>
  <c r="P119" i="4"/>
  <c r="AD119" i="4"/>
  <c r="AC119" i="4"/>
  <c r="AB119" i="4"/>
  <c r="Z119" i="4"/>
  <c r="H119" i="4"/>
  <c r="V119" i="4"/>
  <c r="AH119" i="4"/>
  <c r="Q119" i="4"/>
  <c r="AE119" i="4"/>
  <c r="O119" i="4"/>
  <c r="N119" i="4"/>
  <c r="M119" i="4"/>
  <c r="L119" i="4"/>
  <c r="J119" i="4"/>
  <c r="I119" i="4"/>
  <c r="U119" i="4"/>
  <c r="K119" i="4"/>
  <c r="AA119" i="4"/>
  <c r="G119" i="4"/>
  <c r="S119" i="4"/>
  <c r="R119" i="4"/>
  <c r="Y119" i="4"/>
  <c r="W119" i="4"/>
  <c r="E119" i="4"/>
  <c r="X119" i="4"/>
  <c r="F119" i="4"/>
  <c r="T119" i="4"/>
  <c r="AG119" i="4"/>
  <c r="AD112" i="4"/>
  <c r="N112" i="4"/>
  <c r="AB112" i="4"/>
  <c r="AA112" i="4"/>
  <c r="Y112" i="4"/>
  <c r="W112" i="4"/>
  <c r="E112" i="4"/>
  <c r="AC112" i="4"/>
  <c r="M112" i="4"/>
  <c r="L112" i="4"/>
  <c r="K112" i="4"/>
  <c r="Z112" i="4"/>
  <c r="I112" i="4"/>
  <c r="V112" i="4"/>
  <c r="U112" i="4"/>
  <c r="T112" i="4"/>
  <c r="AF112" i="4"/>
  <c r="J112" i="4"/>
  <c r="H112" i="4"/>
  <c r="O112" i="4"/>
  <c r="X112" i="4"/>
  <c r="G112" i="4"/>
  <c r="F112" i="4"/>
  <c r="S112" i="4"/>
  <c r="AG112" i="4"/>
  <c r="R112" i="4"/>
  <c r="Q112" i="4"/>
  <c r="AE112" i="4"/>
  <c r="AH112" i="4"/>
  <c r="P112" i="4"/>
  <c r="AF105" i="4"/>
  <c r="AB105" i="4"/>
  <c r="X105" i="4"/>
  <c r="T105" i="4"/>
  <c r="P105" i="4"/>
  <c r="L105" i="4"/>
  <c r="H105" i="4"/>
  <c r="AE105" i="4"/>
  <c r="AA105" i="4"/>
  <c r="W105" i="4"/>
  <c r="S105" i="4"/>
  <c r="O105" i="4"/>
  <c r="K105" i="4"/>
  <c r="G105" i="4"/>
  <c r="AH105" i="4"/>
  <c r="AD105" i="4"/>
  <c r="Z105" i="4"/>
  <c r="V105" i="4"/>
  <c r="R105" i="4"/>
  <c r="N105" i="4"/>
  <c r="J105" i="4"/>
  <c r="F105" i="4"/>
  <c r="AG105" i="4"/>
  <c r="AC105" i="4"/>
  <c r="Y105" i="4"/>
  <c r="U105" i="4"/>
  <c r="Q105" i="4"/>
  <c r="M105" i="4"/>
  <c r="I105" i="4"/>
  <c r="E105" i="4"/>
  <c r="AH98" i="4"/>
  <c r="AD98" i="4"/>
  <c r="Z98" i="4"/>
  <c r="V98" i="4"/>
  <c r="R98" i="4"/>
  <c r="N98" i="4"/>
  <c r="J98" i="4"/>
  <c r="F98" i="4"/>
  <c r="AC98" i="4"/>
  <c r="Q98" i="4"/>
  <c r="E98" i="4"/>
  <c r="AF98" i="4"/>
  <c r="AB98" i="4"/>
  <c r="X98" i="4"/>
  <c r="T98" i="4"/>
  <c r="P98" i="4"/>
  <c r="L98" i="4"/>
  <c r="H98" i="4"/>
  <c r="Y98" i="4"/>
  <c r="M98" i="4"/>
  <c r="AE98" i="4"/>
  <c r="AA98" i="4"/>
  <c r="W98" i="4"/>
  <c r="S98" i="4"/>
  <c r="O98" i="4"/>
  <c r="K98" i="4"/>
  <c r="G98" i="4"/>
  <c r="AG98" i="4"/>
  <c r="U98" i="4"/>
  <c r="I98" i="4"/>
  <c r="AF91" i="4"/>
  <c r="AB91" i="4"/>
  <c r="X91" i="4"/>
  <c r="T91" i="4"/>
  <c r="P91" i="4"/>
  <c r="L91" i="4"/>
  <c r="H91" i="4"/>
  <c r="G91" i="4"/>
  <c r="F91" i="4"/>
  <c r="AE91" i="4"/>
  <c r="AA91" i="4"/>
  <c r="W91" i="4"/>
  <c r="S91" i="4"/>
  <c r="O91" i="4"/>
  <c r="K91" i="4"/>
  <c r="AH91" i="4"/>
  <c r="AD91" i="4"/>
  <c r="Z91" i="4"/>
  <c r="V91" i="4"/>
  <c r="R91" i="4"/>
  <c r="N91" i="4"/>
  <c r="AG91" i="4"/>
  <c r="AC91" i="4"/>
  <c r="Y91" i="4"/>
  <c r="U91" i="4"/>
  <c r="Q91" i="4"/>
  <c r="M91" i="4"/>
  <c r="I91" i="4"/>
  <c r="E91" i="4"/>
  <c r="J91" i="4"/>
  <c r="AH63" i="4"/>
  <c r="AD63" i="4"/>
  <c r="Z63" i="4"/>
  <c r="V63" i="4"/>
  <c r="R63" i="4"/>
  <c r="N63" i="4"/>
  <c r="J63" i="4"/>
  <c r="F63" i="4"/>
  <c r="I63" i="4"/>
  <c r="AG63" i="4"/>
  <c r="AC63" i="4"/>
  <c r="Y63" i="4"/>
  <c r="U63" i="4"/>
  <c r="Q63" i="4"/>
  <c r="E63" i="4"/>
  <c r="AF63" i="4"/>
  <c r="AB63" i="4"/>
  <c r="X63" i="4"/>
  <c r="T63" i="4"/>
  <c r="P63" i="4"/>
  <c r="L63" i="4"/>
  <c r="H63" i="4"/>
  <c r="AE63" i="4"/>
  <c r="AA63" i="4"/>
  <c r="W63" i="4"/>
  <c r="S63" i="4"/>
  <c r="O63" i="4"/>
  <c r="K63" i="4"/>
  <c r="G63" i="4"/>
  <c r="M63" i="4"/>
  <c r="AH70" i="4"/>
  <c r="AD70" i="4"/>
  <c r="Z70" i="4"/>
  <c r="V70" i="4"/>
  <c r="R70" i="4"/>
  <c r="N70" i="4"/>
  <c r="J70" i="4"/>
  <c r="F70" i="4"/>
  <c r="AC70" i="4"/>
  <c r="Y70" i="4"/>
  <c r="Q70" i="4"/>
  <c r="I70" i="4"/>
  <c r="S70" i="4"/>
  <c r="AG70" i="4"/>
  <c r="U70" i="4"/>
  <c r="M70" i="4"/>
  <c r="E70" i="4"/>
  <c r="O70" i="4"/>
  <c r="G70" i="4"/>
  <c r="AF70" i="4"/>
  <c r="AB70" i="4"/>
  <c r="X70" i="4"/>
  <c r="T70" i="4"/>
  <c r="P70" i="4"/>
  <c r="L70" i="4"/>
  <c r="H70" i="4"/>
  <c r="AE70" i="4"/>
  <c r="AA70" i="4"/>
  <c r="W70" i="4"/>
  <c r="K70" i="4"/>
  <c r="AH77" i="4"/>
  <c r="AD77" i="4"/>
  <c r="Z77" i="4"/>
  <c r="V77" i="4"/>
  <c r="N77" i="4"/>
  <c r="AG77" i="4"/>
  <c r="AC77" i="4"/>
  <c r="Y77" i="4"/>
  <c r="U77" i="4"/>
  <c r="Q77" i="4"/>
  <c r="M77" i="4"/>
  <c r="I77" i="4"/>
  <c r="E77" i="4"/>
  <c r="T77" i="4"/>
  <c r="L77" i="4"/>
  <c r="AF77" i="4"/>
  <c r="AB77" i="4"/>
  <c r="X77" i="4"/>
  <c r="P77" i="4"/>
  <c r="H77" i="4"/>
  <c r="AE77" i="4"/>
  <c r="AA77" i="4"/>
  <c r="W77" i="4"/>
  <c r="S77" i="4"/>
  <c r="O77" i="4"/>
  <c r="K77" i="4"/>
  <c r="G77" i="4"/>
  <c r="R77" i="4"/>
  <c r="J77" i="4"/>
  <c r="F77" i="4"/>
  <c r="AH84" i="4"/>
  <c r="AD84" i="4"/>
  <c r="Z84" i="4"/>
  <c r="V84" i="4"/>
  <c r="R84" i="4"/>
  <c r="N84" i="4"/>
  <c r="J84" i="4"/>
  <c r="F84" i="4"/>
  <c r="AG84" i="4"/>
  <c r="AC84" i="4"/>
  <c r="Y84" i="4"/>
  <c r="U84" i="4"/>
  <c r="Q84" i="4"/>
  <c r="M84" i="4"/>
  <c r="I84" i="4"/>
  <c r="E84" i="4"/>
  <c r="AF84" i="4"/>
  <c r="AB84" i="4"/>
  <c r="X84" i="4"/>
  <c r="T84" i="4"/>
  <c r="P84" i="4"/>
  <c r="L84" i="4"/>
  <c r="H84" i="4"/>
  <c r="AE84" i="4"/>
  <c r="AA84" i="4"/>
  <c r="W84" i="4"/>
  <c r="S84" i="4"/>
  <c r="O84" i="4"/>
  <c r="K84" i="4"/>
  <c r="G84" i="4"/>
  <c r="AH56" i="4"/>
  <c r="AD56" i="4"/>
  <c r="Z56" i="4"/>
  <c r="V56" i="4"/>
  <c r="R56" i="4"/>
  <c r="N56" i="4"/>
  <c r="J56" i="4"/>
  <c r="F56" i="4"/>
  <c r="I56" i="4"/>
  <c r="AA56" i="4"/>
  <c r="S56" i="4"/>
  <c r="K56" i="4"/>
  <c r="AG56" i="4"/>
  <c r="AC56" i="4"/>
  <c r="Y56" i="4"/>
  <c r="U56" i="4"/>
  <c r="Q56" i="4"/>
  <c r="M56" i="4"/>
  <c r="E56" i="4"/>
  <c r="W56" i="4"/>
  <c r="AF56" i="4"/>
  <c r="AB56" i="4"/>
  <c r="X56" i="4"/>
  <c r="T56" i="4"/>
  <c r="P56" i="4"/>
  <c r="L56" i="4"/>
  <c r="H56" i="4"/>
  <c r="AE56" i="4"/>
  <c r="O56" i="4"/>
  <c r="G56" i="4"/>
  <c r="AF49" i="4"/>
  <c r="AB49" i="4"/>
  <c r="X49" i="4"/>
  <c r="T49" i="4"/>
  <c r="P49" i="4"/>
  <c r="L49" i="4"/>
  <c r="H49" i="4"/>
  <c r="G49" i="4"/>
  <c r="Y49" i="4"/>
  <c r="Q49" i="4"/>
  <c r="E49" i="4"/>
  <c r="AE49" i="4"/>
  <c r="AA49" i="4"/>
  <c r="W49" i="4"/>
  <c r="S49" i="4"/>
  <c r="O49" i="4"/>
  <c r="K49" i="4"/>
  <c r="AC49" i="4"/>
  <c r="M49" i="4"/>
  <c r="AH49" i="4"/>
  <c r="AD49" i="4"/>
  <c r="Z49" i="4"/>
  <c r="V49" i="4"/>
  <c r="R49" i="4"/>
  <c r="N49" i="4"/>
  <c r="J49" i="4"/>
  <c r="F49" i="4"/>
  <c r="AG49" i="4"/>
  <c r="U49" i="4"/>
  <c r="I49" i="4"/>
  <c r="AH42" i="4"/>
  <c r="AD42" i="4"/>
  <c r="Z42" i="4"/>
  <c r="V42" i="4"/>
  <c r="R42" i="4"/>
  <c r="N42" i="4"/>
  <c r="J42" i="4"/>
  <c r="F42" i="4"/>
  <c r="AG42" i="4"/>
  <c r="AC42" i="4"/>
  <c r="Y42" i="4"/>
  <c r="U42" i="4"/>
  <c r="Q42" i="4"/>
  <c r="M42" i="4"/>
  <c r="I42" i="4"/>
  <c r="E42" i="4"/>
  <c r="AF42" i="4"/>
  <c r="AB42" i="4"/>
  <c r="X42" i="4"/>
  <c r="T42" i="4"/>
  <c r="P42" i="4"/>
  <c r="L42" i="4"/>
  <c r="H42" i="4"/>
  <c r="AE42" i="4"/>
  <c r="AA42" i="4"/>
  <c r="W42" i="4"/>
  <c r="S42" i="4"/>
  <c r="O42" i="4"/>
  <c r="K42" i="4"/>
  <c r="G42" i="4"/>
  <c r="AF35" i="4"/>
  <c r="AB35" i="4"/>
  <c r="X35" i="4"/>
  <c r="T35" i="4"/>
  <c r="P35" i="4"/>
  <c r="L35" i="4"/>
  <c r="H35" i="4"/>
  <c r="O35" i="4"/>
  <c r="G35" i="4"/>
  <c r="Y35" i="4"/>
  <c r="Q35" i="4"/>
  <c r="AE35" i="4"/>
  <c r="AA35" i="4"/>
  <c r="W35" i="4"/>
  <c r="S35" i="4"/>
  <c r="K35" i="4"/>
  <c r="AG35" i="4"/>
  <c r="I35" i="4"/>
  <c r="AH35" i="4"/>
  <c r="AD35" i="4"/>
  <c r="Z35" i="4"/>
  <c r="V35" i="4"/>
  <c r="R35" i="4"/>
  <c r="N35" i="4"/>
  <c r="J35" i="4"/>
  <c r="F35" i="4"/>
  <c r="AC35" i="4"/>
  <c r="M35" i="4"/>
  <c r="E35" i="4"/>
  <c r="U35" i="4"/>
  <c r="AH28" i="4"/>
  <c r="AD28" i="4"/>
  <c r="Z28" i="4"/>
  <c r="V28" i="4"/>
  <c r="R28" i="4"/>
  <c r="N28" i="4"/>
  <c r="J28" i="4"/>
  <c r="F28" i="4"/>
  <c r="AG28" i="4"/>
  <c r="AC28" i="4"/>
  <c r="Y28" i="4"/>
  <c r="U28" i="4"/>
  <c r="Q28" i="4"/>
  <c r="M28" i="4"/>
  <c r="I28" i="4"/>
  <c r="E28" i="4"/>
  <c r="AF28" i="4"/>
  <c r="AB28" i="4"/>
  <c r="X28" i="4"/>
  <c r="T28" i="4"/>
  <c r="P28" i="4"/>
  <c r="L28" i="4"/>
  <c r="H28" i="4"/>
  <c r="AE28" i="4"/>
  <c r="AA28" i="4"/>
  <c r="W28" i="4"/>
  <c r="S28" i="4"/>
  <c r="O28" i="4"/>
  <c r="K28" i="4"/>
  <c r="G28" i="4"/>
  <c r="AH5" i="4" l="1"/>
  <c r="AA5" i="4"/>
  <c r="X5" i="4"/>
  <c r="AD5" i="4"/>
  <c r="N5" i="4"/>
  <c r="AG5" i="4"/>
  <c r="Q5" i="4"/>
  <c r="P5" i="4"/>
  <c r="H5" i="4"/>
  <c r="K5" i="4"/>
  <c r="AB5" i="4"/>
  <c r="M5" i="4"/>
  <c r="L5" i="4"/>
  <c r="AC5" i="4"/>
  <c r="U5" i="4"/>
  <c r="W5" i="4"/>
  <c r="Y5" i="4"/>
  <c r="S5" i="4"/>
  <c r="G5" i="4"/>
  <c r="AF5" i="4"/>
  <c r="AE5" i="4"/>
  <c r="T5" i="4"/>
  <c r="F5" i="4"/>
  <c r="V5" i="4"/>
  <c r="O5" i="4"/>
  <c r="E5" i="4"/>
  <c r="R5" i="4"/>
  <c r="I5" i="4"/>
  <c r="J5" i="4"/>
  <c r="Z5" i="4"/>
  <c r="H6" i="4" l="1"/>
  <c r="V6" i="4"/>
  <c r="M6" i="4"/>
  <c r="L6" i="4"/>
  <c r="P6" i="4"/>
  <c r="I6" i="4"/>
  <c r="AE6" i="4"/>
  <c r="Z6" i="4"/>
  <c r="AG6" i="4"/>
  <c r="R6" i="4"/>
  <c r="AH6" i="4"/>
  <c r="O6" i="4"/>
  <c r="T6" i="4"/>
  <c r="K6" i="4"/>
  <c r="F6" i="4"/>
  <c r="AF6" i="4"/>
  <c r="S6" i="4"/>
  <c r="X6" i="4"/>
  <c r="U6" i="4"/>
  <c r="Q6" i="4"/>
  <c r="W6" i="4"/>
  <c r="N6" i="4"/>
  <c r="AB6" i="4"/>
  <c r="AC6" i="4"/>
  <c r="Y6" i="4"/>
  <c r="AA6" i="4"/>
  <c r="J6" i="4"/>
  <c r="G6" i="4"/>
  <c r="AD6" i="4"/>
  <c r="E6" i="4"/>
</calcChain>
</file>

<file path=xl/sharedStrings.xml><?xml version="1.0" encoding="utf-8"?>
<sst xmlns="http://schemas.openxmlformats.org/spreadsheetml/2006/main" count="842" uniqueCount="336">
  <si>
    <t>Significant barrier to assess and identify victim priorities (distance, obstacles, etc.)</t>
  </si>
  <si>
    <t>Moderate barrier to assess and identify victim priorities (distance, obstacles, etc.)</t>
  </si>
  <si>
    <t>Minor barrier to assess and identify victim priorities (distance, obstacles, etc.)</t>
  </si>
  <si>
    <t>Rationale: The Team Leaders needs to assess the victim priorities, redirects or dispatches rescuers as the priorities are identified or changed.</t>
  </si>
  <si>
    <t>Significant limitations that provide difficulty for teams to maintain safety (lack of safety equipment, dangers, etc.)</t>
  </si>
  <si>
    <t>Moderate environment, equipment, condition limitations to maintain safety (lack of safety equipment, dangers, etc.)</t>
  </si>
  <si>
    <t>Minor environment, equipment, condition limitations to maintain safety (lack of safety equipment, dangers, etc.)</t>
  </si>
  <si>
    <t>Rationale: Control over the scenario is essential, monitoring safety and environmental conditions, approaches may need to be adjusted to ensure the lowest risk to the rescuers.</t>
  </si>
  <si>
    <t>Performance Criteria -  ASSESSMENT</t>
  </si>
  <si>
    <t>Weighting Factor/ Degree of Difficulty</t>
  </si>
  <si>
    <t>Performance Criteria - CONTROL OVER THE SCENARIO</t>
  </si>
  <si>
    <t>Significant interference to communication due to size and layout or dimension of the area, noise, etc.</t>
  </si>
  <si>
    <t>Moderate interference to communication due to size and layout or dimension of the area, noise, etc.</t>
  </si>
  <si>
    <t>Minor interference to communication due to size and layout or dimension of the area, noise, etc.</t>
  </si>
  <si>
    <t>Rationale: Interferences in communication due to size and layout or dimension of the area may require adjustments to the methods of communication to be effective.</t>
  </si>
  <si>
    <t>Performance Criteria - COMMUNICATION</t>
  </si>
  <si>
    <t>Victim is significantly hidden from view and searching</t>
  </si>
  <si>
    <t>Victim is moderately hidden from view or searching</t>
  </si>
  <si>
    <t>Victim is minimally hidden from view or searching</t>
  </si>
  <si>
    <t>Rationale: Locating victims can be a challenge if the victims are hidden from view and/or observed by equipment or other victims. This criteria reflects the difficulty associated with searching victims in these circumstances.</t>
  </si>
  <si>
    <t>Performance Criteria - SEARCH</t>
  </si>
  <si>
    <t>Teamwork without bystanders/victim assistance or bystanders are uncooperative/distracting</t>
  </si>
  <si>
    <t>Teamwork with reluctant bystanders/victim assistance</t>
  </si>
  <si>
    <t>Teamwork with cooperative bystander/victim assistance</t>
  </si>
  <si>
    <t>Rationale: Teamwork is improved when bystanders/victims are cooperative and available noting that clear concise instructions need to be given. Teams need to listen and respond effectively when working as a team.</t>
  </si>
  <si>
    <t>Performance Criteria - TEAMWORK</t>
  </si>
  <si>
    <t>Victim far from landing i.e. 15m+</t>
  </si>
  <si>
    <t>Victim near to landing i.e. 6-10m</t>
  </si>
  <si>
    <t>Victim close to landing or on deck i.e. 5m</t>
  </si>
  <si>
    <t>Rationale: It is more difficult to recognize victims that are further away from the deck/dock or entry / exit point and it takes more time to rescue them. Therefore, victims that are at a greater distance would receive a higher weighting factor.</t>
  </si>
  <si>
    <t>Performance Criteria - VICTIM RECOGNITION, APPROACH</t>
  </si>
  <si>
    <t>Refuses aid and will not swim in unless clear and concise directions are given</t>
  </si>
  <si>
    <t>Accepts aid but will not swim in unless clear and concise directions are given</t>
  </si>
  <si>
    <t>Rationale: Victims are more difficult to rescue due to refusal or inability to hold an aid or swim to safety. Therefore, a higher weighting factor is allocated for victims that are more difficult to rescue or are uncooperative and the rescuer is rewarded for persistence and securing them. Mobilize the mobile, secure those in imminent danger and recover and resuscitate.</t>
  </si>
  <si>
    <t>Performance Criteria - RESCUE</t>
  </si>
  <si>
    <t>Talk or Throw rescue expected</t>
  </si>
  <si>
    <t>Reach or Tow rescue expected</t>
  </si>
  <si>
    <t>Carry rescue expected</t>
  </si>
  <si>
    <t>Rationale: Rescuers should rescue those that have the highest chance of survival first and present the lowest risk of danger to the rescuer. Mobilize the mobile, secure those in imminent danger and recover and resuscitate. Therefore, victims that can be rescued easily should be rescued first and the more difficult victims rescued last.</t>
  </si>
  <si>
    <t>Performance Criteria - CONTROL OF VICTIM</t>
  </si>
  <si>
    <t>Weak Swimmer/Mobile at time of landing</t>
  </si>
  <si>
    <t>Non/Injured Swimmer at time of landing</t>
  </si>
  <si>
    <t>Rationale: Rescuers should assist those who can help themselves or who could help others first to land then help those that require more effort and attention such as those who are in imminent danger like non swimmers, injured swimmers, and then finally those victims that require continuous care and resuscitation.</t>
  </si>
  <si>
    <t>Performance Criteria - LANDING</t>
  </si>
  <si>
    <t>Non/Injured Swimmer</t>
  </si>
  <si>
    <t>Weak Swimmer/Mobile</t>
  </si>
  <si>
    <t>Rationale: Care and aftercare for victims that require continuous care or resuscitation is more difficult than those in imminent danger or who are weak or mobile. Therefore, a higher factor is assessed for victims that are more difficult to provide aftercare and monitoring.</t>
  </si>
  <si>
    <t>Performance Criteria - CARE AND AFTERCARE OF VICTIM</t>
  </si>
  <si>
    <t>Rescue</t>
  </si>
  <si>
    <t>Control of Victim</t>
  </si>
  <si>
    <t>Landing</t>
  </si>
  <si>
    <t>Care and Aftercare of Victim</t>
  </si>
  <si>
    <t>Victim # / Weighting Factor</t>
  </si>
  <si>
    <t>Victim Types</t>
  </si>
  <si>
    <t>Weak Swimmer</t>
  </si>
  <si>
    <t>Non Swimmer</t>
  </si>
  <si>
    <t>Injured Swimmer</t>
  </si>
  <si>
    <t>Bystander</t>
  </si>
  <si>
    <t xml:space="preserve">Accepts aid and swims in / Unconscious </t>
  </si>
  <si>
    <t>Types of Victims</t>
  </si>
  <si>
    <t>Chief Judge</t>
  </si>
  <si>
    <t>Overall</t>
  </si>
  <si>
    <t>Assessment</t>
  </si>
  <si>
    <t>Control</t>
  </si>
  <si>
    <t>Communication</t>
  </si>
  <si>
    <t>Search</t>
  </si>
  <si>
    <t>Teamwork</t>
  </si>
  <si>
    <t>The victim is struggling to stay above the water and is starting to panic as they cannot get to safety. They are capable of taking a rescue aid if pushed into their reach (judge will give specifics based upon scenario description). However if a contact rescue is attempted, they will struggle and try to grab hold of the rescuer (they will not turn on their back). They need assistance to get out of the water and when out will be exhausted from the experience.</t>
  </si>
  <si>
    <t>The victim is a weak swimmer struggling to get back to safety. They will be capable of shouting or calling out for help. They will be able to take an aid to get to safety. If a contact carry is performed they will struggle and resist. They will be able to land themselves. They will provide assistance or contact emergency services and will cooperative throughout.</t>
  </si>
  <si>
    <t>This victim will be on the bottom of the pool.</t>
  </si>
  <si>
    <t>Victim will be complaining of a specific injury and will not be calmed.</t>
  </si>
  <si>
    <t>The bystander will not offer assistance but will be cooperative and take direction.</t>
  </si>
  <si>
    <t>Victim Notes</t>
  </si>
  <si>
    <t>Judge Notes</t>
  </si>
  <si>
    <t>Non-swimmer is in imminent danger and is a high priority for rescue. They will attempt to grab any rescuer who approaches them directly without an aid. If a contact rescue is used, low marks should be recorded for the rescue component. The victim should be made safe with an effective and efficient return to safety. Landing should be done with care. They will answer questions asked of them.</t>
  </si>
  <si>
    <t>Weak swimmers need to be made safe very quickly. The victim can be talked at or given signs to return to safety; they will need to be kept monitored. They will struggle if a contact rescue is used; low marks should be awarded for contact rescue</t>
  </si>
  <si>
    <t>Victim Recognition/Approach</t>
  </si>
  <si>
    <t>Control and use of Victim</t>
  </si>
  <si>
    <t>Care and Aftercare of victim</t>
  </si>
  <si>
    <t>Encourage return to safety with clear directions; perform a non-contact rescue (low marks for contact rescue if not required – maximum 5 marks for this section)
Monitor while still in water; may require further directions/instructions</t>
  </si>
  <si>
    <t>Effective communication / instruction; use for keeping another victim warm / safe</t>
  </si>
  <si>
    <t>Make secure and land
Appropriate landing for size and strength of rescuer</t>
  </si>
  <si>
    <t>Safe position away from danger; warmth and protection where possible; monitor safety; ongoing monitoring and care</t>
  </si>
  <si>
    <t>Recognition of non-swimmer (high priority), speed of reaching victim
Safe approach by rescuer</t>
  </si>
  <si>
    <t>Rescue with extreme caution
(low marks for contact rescue if not required – maximum 5 marks for this section)
Monitor while still in water; may require further directions/instructions</t>
  </si>
  <si>
    <t>Clear effective questioning and reassurance
Reassurance during rescue until returned to safety</t>
  </si>
  <si>
    <t>Care of the victim; protection of the head
Appropriate landing for size and strength of rescuer</t>
  </si>
  <si>
    <t>Safe position away from the edge; warmth and protection where possible; monitor safety; ongoing reassurance</t>
  </si>
  <si>
    <t>This victim is a low-order rescue priority and rescuers should deal with the high priority victims as quickly as possible in order to get to this victim who requires continuous care.
CPR should be commenced when it is safe to do so; on land, boat, rescue breaths with a buoyant aid in the water, etc. and your marks should reflect the efficiency and effectiveness of the CPR simulation (and not measured against your own Country/Nation’s teaching / standards).</t>
  </si>
  <si>
    <t>Identification of casualty</t>
  </si>
  <si>
    <t>Speed of rescue (considering priority of rescue)
Speed in getting back to safety</t>
  </si>
  <si>
    <t>Effective and efficient carry</t>
  </si>
  <si>
    <t>Careful handling/landing of the casualty</t>
  </si>
  <si>
    <t>Effective and efficient CPR likely to assist recovery
Safe position away from danger; monitor safety; ongoing monitoring and care</t>
  </si>
  <si>
    <t>This is a medium priority victim requiring assistance. Rescuer should use an aid. Victim may not be able to hold an aid depending on the injury and may need assistance in the water and on landing. The victim should be removed carefully from the water with attention to the injured part of the body. They will not be cooperative.</t>
  </si>
  <si>
    <t>Recognition that they are an injured swimmer and medium priority to mobilize
Safe approach by rescuer</t>
  </si>
  <si>
    <t>Encourage to return to the edge with clear directions
Perform non-contact rescue
(low marks for contact rescue if not required – maximum 5 marks for this section)
Monitor while still in water; may require further directions/instructions</t>
  </si>
  <si>
    <t>Effective communication / instruction
Reassurance throughout rescue</t>
  </si>
  <si>
    <t>Careful removal from water with attention to injury
Make secure and land (monitor while still in water; may require further directions/instructions)
Appropriate landing for size and strength of rescuer</t>
  </si>
  <si>
    <t>Safe position away from the edge; warmth and protection where possible; monitor safety; ongoing monitoring and care</t>
  </si>
  <si>
    <t>This is a high priority bystander as they can lend assistance when given direction. .</t>
  </si>
  <si>
    <t>Recognition that they are a bystander and cooperative.</t>
  </si>
  <si>
    <t>Questions bystander to assess information about the scenario.
(low marks for not giving the bystander directions – maximum 5 marks for this section)</t>
  </si>
  <si>
    <t>Rescuer provides directions or instructions to assist the rescue scenario such as; asst. removals, reassure victims, call emergency services.</t>
  </si>
  <si>
    <t>Check periodically to ensure that bystander has followed the directions of the Rescuer throughout rescue</t>
  </si>
  <si>
    <t>Provides feedback to bystander on their actions to encourage them to assist with victim support</t>
  </si>
  <si>
    <t xml:space="preserve">Recognition that they are a weak swimmer and high priority to mobilize. 
Safe approach by rescuer
</t>
  </si>
  <si>
    <t>Assesses relevant information</t>
  </si>
  <si>
    <t>Provides directions and instructions</t>
  </si>
  <si>
    <t>Monitoring bystander actions</t>
  </si>
  <si>
    <t>Provides ongoing encouragment</t>
  </si>
  <si>
    <t>This victim will not be on the bottom of the pool</t>
  </si>
  <si>
    <t>OVERALL CRITERIA</t>
  </si>
  <si>
    <t>VICTIM CRITERIA</t>
  </si>
  <si>
    <t>Unconscious/Non breathing</t>
  </si>
  <si>
    <t>Unconscious/Non breathing at time of landing</t>
  </si>
  <si>
    <t>Assesses Relevant Information</t>
  </si>
  <si>
    <t>Provides Direction and Instructions</t>
  </si>
  <si>
    <t>Monitoring Bystanders Actions</t>
  </si>
  <si>
    <t>Provides Ongoing Encouragement</t>
  </si>
  <si>
    <t xml:space="preserve">This victim is a low-order rescue priority and rescuers should deal with the high priority victims as quickly as possible in order to get to this victim who requires continuous care.
</t>
  </si>
  <si>
    <t>Bystander Details</t>
  </si>
  <si>
    <t>You can add details about the bystander in this cell</t>
  </si>
  <si>
    <t>Random Draw</t>
  </si>
  <si>
    <t>Club 27</t>
  </si>
  <si>
    <t>Club 28</t>
  </si>
  <si>
    <t>Club 29</t>
  </si>
  <si>
    <t>Club 30</t>
  </si>
  <si>
    <t>Random - Hit F9 to resort</t>
  </si>
  <si>
    <t>Draw</t>
  </si>
  <si>
    <t>Before entering Judges' scores verify the team is correct, ALL sheets have been returned and are in correct order</t>
  </si>
  <si>
    <r>
      <t xml:space="preserve">DRAW </t>
    </r>
    <r>
      <rPr>
        <b/>
        <sz val="12"/>
        <rFont val="Webdings"/>
        <family val="1"/>
      </rPr>
      <t>4</t>
    </r>
  </si>
  <si>
    <r>
      <t xml:space="preserve">TEAM </t>
    </r>
    <r>
      <rPr>
        <b/>
        <sz val="14"/>
        <rFont val="Webdings"/>
        <family val="1"/>
      </rPr>
      <t>4</t>
    </r>
  </si>
  <si>
    <t>Criteria</t>
  </si>
  <si>
    <t>ENTER RAW SCORES FROM JUDGES' SHEETS  NB: MARKS FOR 'ROUGH HANDLING' = 0 or -10 (No incremental scores) USE 'MINUS' SIGN WHEN ENTERING.</t>
  </si>
  <si>
    <t xml:space="preserve">Assessment </t>
  </si>
  <si>
    <t>Rough Handling</t>
  </si>
  <si>
    <t>Victim recognition/approach</t>
  </si>
  <si>
    <t>control of victim</t>
  </si>
  <si>
    <t>Care and aftercare</t>
  </si>
  <si>
    <t>Assess relevant info</t>
  </si>
  <si>
    <t>Provides direction and instructions</t>
  </si>
  <si>
    <t>Provides ongoing encouragement</t>
  </si>
  <si>
    <t>Control and use of victim</t>
  </si>
  <si>
    <t>Factors</t>
  </si>
  <si>
    <t>Sub Total</t>
  </si>
  <si>
    <r>
      <t xml:space="preserve">TOTAL WEIGHTED SCORE </t>
    </r>
    <r>
      <rPr>
        <b/>
        <sz val="14"/>
        <rFont val="Webdings"/>
        <family val="1"/>
        <charset val="2"/>
      </rPr>
      <t>4</t>
    </r>
  </si>
  <si>
    <r>
      <t xml:space="preserve">Ranking </t>
    </r>
    <r>
      <rPr>
        <b/>
        <sz val="14"/>
        <rFont val="Webdings"/>
        <family val="1"/>
        <charset val="2"/>
      </rPr>
      <t>4</t>
    </r>
  </si>
  <si>
    <t>PW Serc</t>
  </si>
  <si>
    <t>No Bystander</t>
  </si>
  <si>
    <t>Drop Down - Choose if there is a bystander or no bystander</t>
  </si>
  <si>
    <t>Unconscious Breathing</t>
  </si>
  <si>
    <t>Unconscious Non-Breathing</t>
  </si>
  <si>
    <t>Final Draw</t>
  </si>
  <si>
    <t>Nom d'équipe</t>
  </si>
  <si>
    <t>Compétition</t>
  </si>
  <si>
    <t>#</t>
  </si>
  <si>
    <t>Club</t>
  </si>
  <si>
    <t>Sauveteur Name 1</t>
  </si>
  <si>
    <t>Sauveteur Name 2</t>
  </si>
  <si>
    <t>Sauveteur Name 3</t>
  </si>
  <si>
    <t>Sauveteur Name 4</t>
  </si>
  <si>
    <t>Blue Natation</t>
  </si>
  <si>
    <t>Sybel Roy</t>
  </si>
  <si>
    <t>Alexane Blain</t>
  </si>
  <si>
    <t>Maude Pinsonneault</t>
  </si>
  <si>
    <t>Missy Roy</t>
  </si>
  <si>
    <t>CAF</t>
  </si>
  <si>
    <t>Mercedes Leblanc</t>
  </si>
  <si>
    <t xml:space="preserve"> Kylie Weber</t>
  </si>
  <si>
    <t>Dawson Sheehan</t>
  </si>
  <si>
    <t>Colin Conway</t>
  </si>
  <si>
    <t>Calcary Winter Club Tsunamis</t>
  </si>
  <si>
    <t>Maelle Dykstra</t>
  </si>
  <si>
    <t>Emery Staples</t>
  </si>
  <si>
    <t>Brooklyn Widdifield</t>
  </si>
  <si>
    <t>Alexa Dalton</t>
  </si>
  <si>
    <t>CSRN Crevier</t>
  </si>
  <si>
    <t>CSRN</t>
  </si>
  <si>
    <t>Mégane Crevier</t>
  </si>
  <si>
    <t>Sarkis Kazarian</t>
  </si>
  <si>
    <t>Rosanne Trépanier</t>
  </si>
  <si>
    <t>Samya Chakir</t>
  </si>
  <si>
    <t>CSRN Martel</t>
  </si>
  <si>
    <t>Maxime Martel</t>
  </si>
  <si>
    <t>Nicolas Calicola-Laviolette</t>
  </si>
  <si>
    <t>Zoé Martin</t>
  </si>
  <si>
    <t>Constance Grenier</t>
  </si>
  <si>
    <t>CSRN Martin</t>
  </si>
  <si>
    <t>Gabriel Martin</t>
  </si>
  <si>
    <t>Daniel Goropceanu</t>
  </si>
  <si>
    <t>Laurence Coursol</t>
  </si>
  <si>
    <t>Sandra Laurendeau</t>
  </si>
  <si>
    <t>Damoclès</t>
  </si>
  <si>
    <t>Elliot Perron</t>
  </si>
  <si>
    <t>Nathan Couillard</t>
  </si>
  <si>
    <t>Zachary Isabelle</t>
  </si>
  <si>
    <t>Pierre-Antoine Landry</t>
  </si>
  <si>
    <t>Essex Kolasa</t>
  </si>
  <si>
    <t>Essex Swim &amp; Lifesaving Club</t>
  </si>
  <si>
    <t>Zak Kolasa</t>
  </si>
  <si>
    <t>Sydney Pruyn</t>
  </si>
  <si>
    <t>Amelia Pruyn</t>
  </si>
  <si>
    <t>Rylee Livingston</t>
  </si>
  <si>
    <t>Essex Weston</t>
  </si>
  <si>
    <t>Cohen Weston</t>
  </si>
  <si>
    <t>Giovanna Vinhaes</t>
  </si>
  <si>
    <t>Callaghan Salts</t>
  </si>
  <si>
    <t>Adele Grieves</t>
  </si>
  <si>
    <t>Georgina Rapids Aquatic Club</t>
  </si>
  <si>
    <t>Mikaela Wong</t>
  </si>
  <si>
    <t>Ashley Lin</t>
  </si>
  <si>
    <t>Erin Round</t>
  </si>
  <si>
    <t>Blake Patterson</t>
  </si>
  <si>
    <t>Lifesaving Club of Markham</t>
  </si>
  <si>
    <t>Sarah Monaco</t>
  </si>
  <si>
    <t>Hannah Zhang</t>
  </si>
  <si>
    <t>Brent Zhang</t>
  </si>
  <si>
    <t>Kayden Lieu</t>
  </si>
  <si>
    <t>Narval sauvetage sportif</t>
  </si>
  <si>
    <t>Stéphanie Labelle</t>
  </si>
  <si>
    <t>Frédérick Fortin</t>
  </si>
  <si>
    <t>Tristan Gauthier</t>
  </si>
  <si>
    <t>Émile Fortin</t>
  </si>
  <si>
    <t>Nova Scotia Bresnahan</t>
  </si>
  <si>
    <t>Nova Scotia Lifeguard Service</t>
  </si>
  <si>
    <t>Shamus Bresnahan</t>
  </si>
  <si>
    <t>Aliya Irving</t>
  </si>
  <si>
    <t>Findon Scott</t>
  </si>
  <si>
    <t>Ella Dorey</t>
  </si>
  <si>
    <t>Nova Scotia Irving</t>
  </si>
  <si>
    <t>Talor Irving</t>
  </si>
  <si>
    <t>Yannick Morgans</t>
  </si>
  <si>
    <t>Anna Morrison</t>
  </si>
  <si>
    <t>Alexia Morgans</t>
  </si>
  <si>
    <t>RHLC</t>
  </si>
  <si>
    <t>Bernardo Cardona</t>
  </si>
  <si>
    <t>Daniel Moore</t>
  </si>
  <si>
    <t>Ryan Niramwalla</t>
  </si>
  <si>
    <t>Alex Stebbing</t>
  </si>
  <si>
    <t>Saugeen Shores Lifesaving Club</t>
  </si>
  <si>
    <t>Sarah Ingleton</t>
  </si>
  <si>
    <t>Stephanie Oakes</t>
  </si>
  <si>
    <t>Tracey Edwards</t>
  </si>
  <si>
    <t>Heather Parsons</t>
  </si>
  <si>
    <t>Surf Central Agrey</t>
  </si>
  <si>
    <t>Surf Central</t>
  </si>
  <si>
    <t>Ben Agrey</t>
  </si>
  <si>
    <t>Sage Verbaas</t>
  </si>
  <si>
    <t>Avey Bergstrom</t>
  </si>
  <si>
    <t>Isaac Wosley</t>
  </si>
  <si>
    <t>Surf Central Burwell</t>
  </si>
  <si>
    <t>Samantha Burwell</t>
  </si>
  <si>
    <t>Olivier Johnson</t>
  </si>
  <si>
    <t>Martyna Zukowska</t>
  </si>
  <si>
    <t>Kingston Falkenberg</t>
  </si>
  <si>
    <t>Surf Central Gilbert</t>
  </si>
  <si>
    <t>Corbin Gilbert</t>
  </si>
  <si>
    <t>Ethan Parsons</t>
  </si>
  <si>
    <t>Andrew Moss</t>
  </si>
  <si>
    <t>Anna Kearns</t>
  </si>
  <si>
    <t>Surf Central Sevcan Isik</t>
  </si>
  <si>
    <t>Sevcan Isik</t>
  </si>
  <si>
    <t>Whitney Zilinski</t>
  </si>
  <si>
    <t>Jeff Kearns</t>
  </si>
  <si>
    <t>Samuel Brager</t>
  </si>
  <si>
    <t>Surf Central Isaac Thibodeau</t>
  </si>
  <si>
    <t>Isaac Thibodeau</t>
  </si>
  <si>
    <t>Jack Dunse</t>
  </si>
  <si>
    <t>Carbri Smith</t>
  </si>
  <si>
    <t>Rylee Bashow</t>
  </si>
  <si>
    <t>Surf Central Vogel</t>
  </si>
  <si>
    <t>Kayla Vogel</t>
  </si>
  <si>
    <t>Mason Freise</t>
  </si>
  <si>
    <t>Evan Thibodeau</t>
  </si>
  <si>
    <t>Osamudiamen Ogbeide</t>
  </si>
  <si>
    <t>Surf Central Zahara</t>
  </si>
  <si>
    <t>Micah Zahara</t>
  </si>
  <si>
    <t>Joseph Shakeshaft</t>
  </si>
  <si>
    <t>Saylah Girard</t>
  </si>
  <si>
    <t>Serkan Isik</t>
  </si>
  <si>
    <t>Vaughan Lifesaving Club</t>
  </si>
  <si>
    <t>Sandro Portante</t>
  </si>
  <si>
    <t>Sarah Panzarella</t>
  </si>
  <si>
    <t>Elizabeth Kalnitsky</t>
  </si>
  <si>
    <t>Artyom Shatov</t>
  </si>
  <si>
    <t>USA</t>
  </si>
  <si>
    <t>Stephen Blaauw</t>
  </si>
  <si>
    <t>Montana George</t>
  </si>
  <si>
    <t>Alexander Cole</t>
  </si>
  <si>
    <t>Coleman Woodard</t>
  </si>
  <si>
    <t>OVERALL: CHIEF JUDGE SCORING SHEET</t>
  </si>
  <si>
    <t>Draw No:</t>
  </si>
  <si>
    <t>Team Name:</t>
  </si>
  <si>
    <t>Judge Identification:</t>
  </si>
  <si>
    <t>Judges notes: You have the overview of the SERC area and assess overall efficiency of the team. In particular you mark the Team Leader’s control of the team – assessment of priorities and dispatch/direction of team members to deal with the victims. You will also mark communication between the Leader and the team and between team members and this may include information about the condition of the victims and what help is needed. Your marks MUST take into account:</t>
  </si>
  <si>
    <t xml:space="preserve">• Any loss of control by the Leader becoming committed or involved to such an extent that overall control is lost. </t>
  </si>
  <si>
    <t>• Do not mark any rescues the leader carries out as another judge is allocated to that victim</t>
  </si>
  <si>
    <t>• Whether assistance was sought. Any person sent for help as assistant will not be allowed to return.</t>
  </si>
  <si>
    <t>Areas of Marking - Marking in increments of 0.5 allotted by the judge.</t>
  </si>
  <si>
    <t>Mark out of 10</t>
  </si>
  <si>
    <t>Assessment of the emergency</t>
  </si>
  <si>
    <t>Did the Leader coordinate the team and direct to the correct priorities of rescue?</t>
  </si>
  <si>
    <t>On-going assessment / re-assessment</t>
  </si>
  <si>
    <t xml:space="preserve"> </t>
  </si>
  <si>
    <t>Factor:</t>
  </si>
  <si>
    <t xml:space="preserve">Control and safety over the scenario area </t>
  </si>
  <si>
    <t xml:space="preserve">Leader retains control throughout the scenario </t>
  </si>
  <si>
    <t xml:space="preserve">On-going assessment / re-assessment </t>
  </si>
  <si>
    <t xml:space="preserve">Communication and feedback between Leader and team members, </t>
  </si>
  <si>
    <t xml:space="preserve">And between team members and victims </t>
  </si>
  <si>
    <t xml:space="preserve">Basic questioning and simple instructions given to victims and team </t>
  </si>
  <si>
    <t xml:space="preserve">Note: Emphasis is on non-verbal and simple verbal communication and not on extensive verbal communication. </t>
  </si>
  <si>
    <t xml:space="preserve">Effective search of scenario area </t>
  </si>
  <si>
    <t xml:space="preserve">Identification and location of victims </t>
  </si>
  <si>
    <t xml:space="preserve">Teamwork, summon assistance (emergency services called) with appropriate information provided </t>
  </si>
  <si>
    <t xml:space="preserve">Identification and securing of all victims </t>
  </si>
  <si>
    <t xml:space="preserve">Effective use of bystanders / victims </t>
  </si>
  <si>
    <t>Rough handling of victims - Deduct 10 points</t>
  </si>
  <si>
    <t>Total:</t>
  </si>
  <si>
    <t>Excellent 10</t>
  </si>
  <si>
    <t>Very Good 9.5-7.5</t>
  </si>
  <si>
    <t>Satisfactory 7.0-5.0</t>
  </si>
  <si>
    <t>Weak 4.5-2.5</t>
  </si>
  <si>
    <t>Poor 2.0-0</t>
  </si>
  <si>
    <t>JUDGE SCORING SHEET</t>
  </si>
  <si>
    <t>Judge's Notes</t>
  </si>
  <si>
    <t>Control of victim</t>
  </si>
  <si>
    <t>BYSTANDER SCORING SHEET</t>
  </si>
  <si>
    <t>1</t>
  </si>
  <si>
    <t>CPLC 2026</t>
  </si>
  <si>
    <t>Audrey Desroches</t>
  </si>
  <si>
    <t>François Houle</t>
  </si>
  <si>
    <t>Marco Patriarco</t>
  </si>
  <si>
    <t>Ariane St-Denis</t>
  </si>
  <si>
    <t>CAEM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</si>
</sst>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1"/>
      <color theme="1"/>
      <name val="Calibri"/>
      <family val="2"/>
      <scheme val="minor"/>
    </font>
    <font>
      <b/>
      <i/>
      <sz val="11"/>
      <color theme="1"/>
      <name val="Calibri"/>
      <family val="2"/>
      <scheme val="minor"/>
    </font>
    <font>
      <sz val="11"/>
      <color theme="0"/>
      <name val="Calibri"/>
      <family val="2"/>
      <scheme val="minor"/>
    </font>
    <font>
      <b/>
      <sz val="11"/>
      <color theme="1"/>
      <name val="Calibri"/>
      <family val="2"/>
      <scheme val="minor"/>
    </font>
    <font>
      <b/>
      <sz val="20"/>
      <color theme="0"/>
      <name val="Calibri"/>
      <family val="2"/>
      <scheme val="minor"/>
    </font>
    <font>
      <sz val="16"/>
      <color theme="1"/>
      <name val="Calibri"/>
      <family val="2"/>
      <scheme val="minor"/>
    </font>
    <font>
      <sz val="24"/>
      <color theme="1"/>
      <name val="Calibri"/>
      <family val="2"/>
      <scheme val="minor"/>
    </font>
    <font>
      <b/>
      <i/>
      <sz val="16"/>
      <color theme="1"/>
      <name val="Calibri"/>
      <family val="2"/>
      <scheme val="minor"/>
    </font>
    <font>
      <b/>
      <i/>
      <sz val="14"/>
      <color theme="1"/>
      <name val="Calibri"/>
      <family val="2"/>
      <scheme val="minor"/>
    </font>
    <font>
      <b/>
      <sz val="18"/>
      <name val="Calibri"/>
      <family val="2"/>
    </font>
    <font>
      <sz val="10"/>
      <name val="Calibri"/>
      <family val="2"/>
    </font>
    <font>
      <b/>
      <sz val="12"/>
      <color indexed="10"/>
      <name val="Calibri"/>
      <family val="2"/>
    </font>
    <font>
      <b/>
      <sz val="12"/>
      <name val="Calibri"/>
      <family val="2"/>
    </font>
    <font>
      <b/>
      <sz val="12"/>
      <name val="Webdings"/>
      <family val="1"/>
    </font>
    <font>
      <b/>
      <sz val="11"/>
      <color indexed="10"/>
      <name val="Calibri"/>
      <family val="2"/>
    </font>
    <font>
      <b/>
      <sz val="14"/>
      <name val="Calibri"/>
      <family val="2"/>
    </font>
    <font>
      <b/>
      <sz val="14"/>
      <name val="Webdings"/>
      <family val="1"/>
    </font>
    <font>
      <b/>
      <sz val="10"/>
      <name val="Calibri"/>
      <family val="2"/>
    </font>
    <font>
      <b/>
      <sz val="14"/>
      <color theme="1"/>
      <name val="Calibri"/>
      <family val="2"/>
      <scheme val="minor"/>
    </font>
    <font>
      <b/>
      <i/>
      <sz val="10"/>
      <name val="Calibri"/>
      <family val="2"/>
    </font>
    <font>
      <b/>
      <sz val="14"/>
      <name val="Webdings"/>
      <family val="1"/>
      <charset val="2"/>
    </font>
    <font>
      <b/>
      <sz val="12"/>
      <color rgb="FF000000"/>
      <name val="Arial"/>
      <family val="2"/>
    </font>
    <font>
      <b/>
      <i/>
      <sz val="12"/>
      <color rgb="FF000000"/>
      <name val="Arial"/>
      <family val="2"/>
    </font>
    <font>
      <b/>
      <sz val="11"/>
      <color theme="0"/>
      <name val="Calibri"/>
      <family val="2"/>
      <scheme val="minor"/>
    </font>
    <font>
      <sz val="11"/>
      <color rgb="FF000000"/>
      <name val="Calibri"/>
      <family val="2"/>
    </font>
    <font>
      <sz val="11"/>
      <color rgb="FF000000"/>
      <name val="Calibri"/>
      <family val="2"/>
      <scheme val="minor"/>
    </font>
    <font>
      <b/>
      <i/>
      <sz val="14"/>
      <color theme="1"/>
      <name val="Calibri"/>
      <family val="2"/>
    </font>
    <font>
      <b/>
      <i/>
      <sz val="11"/>
      <color theme="1"/>
      <name val="Calibri"/>
      <family val="2"/>
    </font>
    <font>
      <sz val="8"/>
      <name val="Calibri"/>
      <family val="2"/>
      <scheme val="minor"/>
    </font>
    <font>
      <sz val="11"/>
      <color theme="1"/>
      <name val="Calibri"/>
      <family val="2"/>
    </font>
    <font>
      <sz val="12"/>
      <color theme="1"/>
      <name val="Arial"/>
      <family val="2"/>
    </font>
    <font>
      <sz val="10"/>
      <color theme="1"/>
      <name val="Arial"/>
      <family val="2"/>
    </font>
    <font>
      <b/>
      <sz val="12"/>
      <color theme="1"/>
      <name val="Arial"/>
      <family val="2"/>
    </font>
    <font>
      <b/>
      <sz val="12"/>
      <color theme="0"/>
      <name val="Arial"/>
      <family val="2"/>
    </font>
    <font>
      <i/>
      <sz val="11"/>
      <color theme="1"/>
      <name val="Arial"/>
      <family val="2"/>
    </font>
    <font>
      <b/>
      <i/>
      <sz val="12"/>
      <color theme="1"/>
      <name val="Arial"/>
      <family val="2"/>
    </font>
  </fonts>
  <fills count="1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indexed="27"/>
        <bgColor indexed="41"/>
      </patternFill>
    </fill>
    <fill>
      <patternFill patternType="solid">
        <fgColor theme="7"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FFFFFF"/>
        <bgColor rgb="FF000000"/>
      </patternFill>
    </fill>
    <fill>
      <patternFill patternType="solid">
        <fgColor rgb="FFFFFFFF"/>
        <bgColor rgb="FFFFFFFF"/>
      </patternFill>
    </fill>
    <fill>
      <patternFill patternType="solid">
        <fgColor theme="3" tint="0.59999389629810485"/>
        <bgColor indexed="64"/>
      </patternFill>
    </fill>
    <fill>
      <patternFill patternType="solid">
        <fgColor theme="0" tint="-0.34998626667073579"/>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8"/>
      </right>
      <top style="medium">
        <color indexed="8"/>
      </top>
      <bottom style="medium">
        <color indexed="8"/>
      </bottom>
      <diagonal/>
    </border>
    <border>
      <left style="thin">
        <color indexed="8"/>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8"/>
      </top>
      <bottom style="medium">
        <color indexed="8"/>
      </bottom>
      <diagonal/>
    </border>
    <border>
      <left style="medium">
        <color indexed="64"/>
      </left>
      <right style="thin">
        <color indexed="64"/>
      </right>
      <top/>
      <bottom style="thin">
        <color indexed="64"/>
      </bottom>
      <diagonal/>
    </border>
    <border>
      <left style="medium">
        <color indexed="64"/>
      </left>
      <right style="medium">
        <color indexed="64"/>
      </right>
      <top/>
      <bottom/>
      <diagonal/>
    </border>
    <border>
      <left style="medium">
        <color indexed="64"/>
      </left>
      <right style="thin">
        <color indexed="8"/>
      </right>
      <top style="medium">
        <color indexed="64"/>
      </top>
      <bottom style="medium">
        <color indexed="64"/>
      </bottom>
      <diagonal/>
    </border>
    <border>
      <left/>
      <right style="medium">
        <color indexed="8"/>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ck">
        <color indexed="64"/>
      </left>
      <right style="thick">
        <color indexed="64"/>
      </right>
      <top style="thick">
        <color indexed="64"/>
      </top>
      <bottom/>
      <diagonal/>
    </border>
    <border>
      <left style="thin">
        <color rgb="FF000000"/>
      </left>
      <right style="thin">
        <color rgb="FF000000"/>
      </right>
      <top style="thin">
        <color rgb="FF000000"/>
      </top>
      <bottom style="thin">
        <color rgb="FF000000"/>
      </bottom>
      <diagonal/>
    </border>
    <border>
      <left style="thin">
        <color theme="2"/>
      </left>
      <right style="thin">
        <color theme="2"/>
      </right>
      <top style="thin">
        <color theme="2"/>
      </top>
      <bottom style="thin">
        <color theme="2"/>
      </bottom>
      <diagonal/>
    </border>
    <border>
      <left style="thin">
        <color indexed="64"/>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s>
  <cellStyleXfs count="1">
    <xf numFmtId="0" fontId="0" fillId="0" borderId="0"/>
  </cellStyleXfs>
  <cellXfs count="148">
    <xf numFmtId="0" fontId="0" fillId="0" borderId="0" xfId="0"/>
    <xf numFmtId="0" fontId="0" fillId="0" borderId="1" xfId="0" applyBorder="1"/>
    <xf numFmtId="0" fontId="0" fillId="0" borderId="1" xfId="0" applyBorder="1" applyAlignment="1" applyProtection="1">
      <alignment horizontal="center" vertical="center" wrapText="1"/>
      <protection locked="0"/>
    </xf>
    <xf numFmtId="0" fontId="0" fillId="2" borderId="1" xfId="0" applyFill="1" applyBorder="1"/>
    <xf numFmtId="0" fontId="1" fillId="0" borderId="1" xfId="0" applyFont="1" applyBorder="1" applyAlignment="1">
      <alignment horizontal="center" vertical="center" wrapText="1"/>
    </xf>
    <xf numFmtId="0" fontId="0" fillId="0" borderId="1" xfId="0" applyBorder="1" applyAlignment="1">
      <alignment horizontal="center" vertical="center"/>
    </xf>
    <xf numFmtId="0" fontId="0" fillId="2" borderId="0" xfId="0" applyFill="1"/>
    <xf numFmtId="0" fontId="1" fillId="2" borderId="1" xfId="0" applyFont="1" applyFill="1" applyBorder="1" applyAlignment="1">
      <alignment horizontal="center" vertical="center" wrapText="1"/>
    </xf>
    <xf numFmtId="0" fontId="0" fillId="2" borderId="1" xfId="0" applyFill="1" applyBorder="1" applyAlignment="1">
      <alignment horizontal="center" vertical="center"/>
    </xf>
    <xf numFmtId="0" fontId="0" fillId="0" borderId="1" xfId="0" applyBorder="1" applyAlignment="1">
      <alignment horizontal="center" vertical="center" wrapText="1"/>
    </xf>
    <xf numFmtId="0" fontId="0" fillId="2" borderId="0" xfId="0" applyFill="1" applyAlignment="1">
      <alignment horizontal="center" vertical="center"/>
    </xf>
    <xf numFmtId="0" fontId="1" fillId="0" borderId="0" xfId="0" applyFont="1" applyAlignment="1">
      <alignment horizontal="center" vertical="center" wrapText="1"/>
    </xf>
    <xf numFmtId="0" fontId="0" fillId="0" borderId="4" xfId="0" applyBorder="1" applyAlignment="1">
      <alignment horizontal="left" vertical="center" wrapText="1"/>
    </xf>
    <xf numFmtId="0" fontId="0" fillId="0" borderId="6" xfId="0" applyBorder="1" applyAlignment="1">
      <alignment horizontal="left" vertical="center" wrapText="1"/>
    </xf>
    <xf numFmtId="0" fontId="0" fillId="0" borderId="7" xfId="0" applyBorder="1"/>
    <xf numFmtId="0" fontId="0" fillId="0" borderId="0" xfId="0" applyAlignment="1">
      <alignment wrapText="1"/>
    </xf>
    <xf numFmtId="0" fontId="0" fillId="0" borderId="5" xfId="0"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wrapText="1"/>
    </xf>
    <xf numFmtId="0" fontId="2" fillId="3" borderId="0" xfId="0" applyFont="1" applyFill="1" applyAlignment="1">
      <alignment wrapText="1"/>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5" fillId="0" borderId="0" xfId="0" applyFont="1"/>
    <xf numFmtId="0" fontId="1" fillId="0" borderId="8" xfId="0" applyFont="1" applyBorder="1" applyAlignment="1">
      <alignment horizontal="center" vertical="center" wrapText="1"/>
    </xf>
    <xf numFmtId="0" fontId="0" fillId="0" borderId="1" xfId="0" applyBorder="1" applyAlignment="1">
      <alignment horizontal="center"/>
    </xf>
    <xf numFmtId="0" fontId="0" fillId="0" borderId="1" xfId="0" applyBorder="1" applyAlignment="1">
      <alignment horizontal="left" vertical="center"/>
    </xf>
    <xf numFmtId="0" fontId="0" fillId="5" borderId="1" xfId="0" applyFill="1" applyBorder="1" applyAlignment="1">
      <alignment horizontal="center" vertical="center" wrapText="1"/>
    </xf>
    <xf numFmtId="0" fontId="0" fillId="6" borderId="1" xfId="0" applyFill="1" applyBorder="1" applyAlignment="1">
      <alignment horizontal="center" vertical="center" wrapText="1"/>
    </xf>
    <xf numFmtId="0" fontId="8" fillId="0" borderId="1" xfId="0" applyFont="1" applyBorder="1" applyAlignment="1">
      <alignment horizontal="center"/>
    </xf>
    <xf numFmtId="0" fontId="8" fillId="0" borderId="1" xfId="0" applyFont="1" applyBorder="1" applyAlignment="1">
      <alignment horizontal="center" vertical="center"/>
    </xf>
    <xf numFmtId="0" fontId="0" fillId="0" borderId="0" xfId="0" applyAlignment="1">
      <alignment horizontal="center" vertical="center"/>
    </xf>
    <xf numFmtId="0" fontId="18" fillId="0" borderId="0" xfId="0" applyFont="1" applyAlignment="1">
      <alignment horizontal="center" vertical="center"/>
    </xf>
    <xf numFmtId="0" fontId="0" fillId="0" borderId="0" xfId="0" applyAlignment="1">
      <alignment horizontal="center"/>
    </xf>
    <xf numFmtId="0" fontId="9" fillId="0" borderId="0" xfId="0" applyFont="1" applyAlignment="1">
      <alignment horizontal="right" vertical="center"/>
    </xf>
    <xf numFmtId="0" fontId="10" fillId="0" borderId="0" xfId="0" applyFont="1"/>
    <xf numFmtId="0" fontId="12" fillId="0" borderId="10" xfId="0" applyFont="1" applyBorder="1" applyAlignment="1">
      <alignment horizontal="right" vertical="center"/>
    </xf>
    <xf numFmtId="0" fontId="10" fillId="0" borderId="11" xfId="0" applyFont="1" applyBorder="1" applyAlignment="1">
      <alignment horizontal="center" vertical="center"/>
    </xf>
    <xf numFmtId="0" fontId="10" fillId="0" borderId="12" xfId="0" applyFont="1" applyBorder="1" applyAlignment="1">
      <alignment horizontal="center" vertical="center"/>
    </xf>
    <xf numFmtId="0" fontId="10" fillId="0" borderId="13" xfId="0" applyFont="1" applyBorder="1" applyAlignment="1">
      <alignment horizontal="center" vertical="center"/>
    </xf>
    <xf numFmtId="0" fontId="0" fillId="0" borderId="0" xfId="0" applyAlignment="1">
      <alignment vertical="center"/>
    </xf>
    <xf numFmtId="0" fontId="15" fillId="0" borderId="20" xfId="0" applyFont="1" applyBorder="1" applyAlignment="1">
      <alignment horizontal="right" vertical="center"/>
    </xf>
    <xf numFmtId="0" fontId="10" fillId="0" borderId="0" xfId="0" applyFont="1" applyAlignment="1">
      <alignment horizontal="right"/>
    </xf>
    <xf numFmtId="0" fontId="0" fillId="0" borderId="8" xfId="0" applyBorder="1" applyAlignment="1">
      <alignment horizontal="center" textRotation="90"/>
    </xf>
    <xf numFmtId="0" fontId="17" fillId="0" borderId="21" xfId="0" applyFont="1" applyBorder="1" applyAlignment="1">
      <alignment horizontal="left" vertical="center"/>
    </xf>
    <xf numFmtId="0" fontId="10" fillId="0" borderId="22" xfId="0" applyFont="1" applyBorder="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7" fillId="8" borderId="19" xfId="0" applyFont="1" applyFill="1" applyBorder="1" applyAlignment="1">
      <alignment horizontal="left" vertical="center"/>
    </xf>
    <xf numFmtId="0" fontId="10" fillId="0" borderId="17" xfId="0" applyFont="1" applyBorder="1" applyAlignment="1">
      <alignment horizontal="left" vertical="center"/>
    </xf>
    <xf numFmtId="0" fontId="10" fillId="0" borderId="17" xfId="0" applyFont="1" applyBorder="1" applyAlignment="1">
      <alignment horizontal="center" vertical="center"/>
    </xf>
    <xf numFmtId="0" fontId="10" fillId="0" borderId="4" xfId="0" applyFont="1" applyBorder="1" applyAlignment="1">
      <alignment horizontal="left" vertical="center"/>
    </xf>
    <xf numFmtId="0" fontId="10" fillId="0" borderId="1" xfId="0" applyFont="1" applyBorder="1" applyAlignment="1">
      <alignment horizontal="left" vertical="center"/>
    </xf>
    <xf numFmtId="0" fontId="10" fillId="0" borderId="1" xfId="0" applyFont="1" applyBorder="1" applyAlignment="1">
      <alignment horizontal="center" vertical="center"/>
    </xf>
    <xf numFmtId="0" fontId="10" fillId="0" borderId="6" xfId="0" applyFont="1" applyBorder="1" applyAlignment="1">
      <alignment horizontal="left" vertical="center"/>
    </xf>
    <xf numFmtId="0" fontId="10" fillId="0" borderId="15" xfId="0" applyFont="1" applyBorder="1" applyAlignment="1">
      <alignment horizontal="left" vertical="center"/>
    </xf>
    <xf numFmtId="0" fontId="10" fillId="0" borderId="15" xfId="0" applyFont="1" applyBorder="1" applyAlignment="1">
      <alignment horizontal="center" vertical="center"/>
    </xf>
    <xf numFmtId="0" fontId="17" fillId="8" borderId="2" xfId="0" applyFont="1" applyFill="1" applyBorder="1" applyAlignment="1">
      <alignment horizontal="left" vertical="center"/>
    </xf>
    <xf numFmtId="0" fontId="10" fillId="0" borderId="14" xfId="0" applyFont="1" applyBorder="1" applyAlignment="1">
      <alignment horizontal="left" vertical="center"/>
    </xf>
    <xf numFmtId="0" fontId="10" fillId="0" borderId="14" xfId="0" applyFont="1" applyBorder="1" applyAlignment="1">
      <alignment horizontal="center" vertical="center"/>
    </xf>
    <xf numFmtId="0" fontId="0" fillId="0" borderId="0" xfId="0" applyAlignment="1">
      <alignment horizontal="left"/>
    </xf>
    <xf numFmtId="0" fontId="0" fillId="2" borderId="0" xfId="0" applyFill="1" applyAlignment="1">
      <alignment horizontal="center" vertical="center" wrapText="1"/>
    </xf>
    <xf numFmtId="0" fontId="0" fillId="4" borderId="1" xfId="0" applyFill="1" applyBorder="1" applyAlignment="1">
      <alignment horizontal="center" vertical="center" wrapText="1"/>
    </xf>
    <xf numFmtId="0" fontId="0" fillId="5" borderId="0" xfId="0" applyFill="1" applyProtection="1">
      <protection locked="0"/>
    </xf>
    <xf numFmtId="0" fontId="0" fillId="0" borderId="1" xfId="0" applyBorder="1" applyProtection="1">
      <protection locked="0"/>
    </xf>
    <xf numFmtId="0" fontId="0" fillId="0" borderId="0" xfId="0" applyProtection="1">
      <protection locked="0"/>
    </xf>
    <xf numFmtId="0" fontId="0" fillId="0" borderId="1" xfId="0" applyBorder="1" applyAlignment="1" applyProtection="1">
      <alignment horizontal="center"/>
      <protection locked="0"/>
    </xf>
    <xf numFmtId="0" fontId="10" fillId="10" borderId="16" xfId="0" applyFont="1" applyFill="1" applyBorder="1" applyAlignment="1">
      <alignment horizontal="center" vertical="center"/>
    </xf>
    <xf numFmtId="0" fontId="10" fillId="10" borderId="33" xfId="0" applyFont="1" applyFill="1" applyBorder="1" applyAlignment="1">
      <alignment horizontal="center" vertical="center"/>
    </xf>
    <xf numFmtId="0" fontId="10" fillId="0" borderId="28" xfId="0" applyFont="1" applyBorder="1" applyAlignment="1">
      <alignment horizontal="center" vertical="center"/>
    </xf>
    <xf numFmtId="0" fontId="12" fillId="0" borderId="29" xfId="0" applyFont="1" applyBorder="1" applyAlignment="1">
      <alignment horizontal="center" vertical="center" wrapText="1"/>
    </xf>
    <xf numFmtId="0" fontId="0" fillId="0" borderId="31" xfId="0" applyBorder="1" applyAlignment="1">
      <alignment vertical="center"/>
    </xf>
    <xf numFmtId="0" fontId="14" fillId="0" borderId="30" xfId="0" applyFont="1" applyBorder="1" applyAlignment="1">
      <alignment horizontal="center" vertical="center" wrapText="1"/>
    </xf>
    <xf numFmtId="0" fontId="0" fillId="0" borderId="32" xfId="0" applyBorder="1"/>
    <xf numFmtId="0" fontId="0" fillId="9" borderId="1" xfId="0" applyFill="1" applyBorder="1" applyProtection="1">
      <protection locked="0"/>
    </xf>
    <xf numFmtId="0" fontId="23" fillId="2" borderId="1" xfId="0" applyFont="1" applyFill="1" applyBorder="1" applyAlignment="1">
      <alignment horizontal="center" wrapText="1"/>
    </xf>
    <xf numFmtId="0" fontId="10" fillId="11" borderId="33" xfId="0" applyFont="1" applyFill="1" applyBorder="1" applyAlignment="1" applyProtection="1">
      <alignment horizontal="center" vertical="center"/>
      <protection locked="0"/>
    </xf>
    <xf numFmtId="0" fontId="25" fillId="12" borderId="1" xfId="0" applyFont="1" applyFill="1" applyBorder="1"/>
    <xf numFmtId="0" fontId="27" fillId="0" borderId="1" xfId="0" applyFont="1" applyBorder="1" applyAlignment="1">
      <alignment horizontal="center" vertical="center"/>
    </xf>
    <xf numFmtId="0" fontId="24" fillId="13" borderId="35" xfId="0" applyFont="1" applyFill="1" applyBorder="1"/>
    <xf numFmtId="0" fontId="29" fillId="0" borderId="35" xfId="0" applyFont="1" applyBorder="1" applyAlignment="1">
      <alignment wrapText="1"/>
    </xf>
    <xf numFmtId="0" fontId="29" fillId="0" borderId="35" xfId="0" applyFont="1" applyBorder="1"/>
    <xf numFmtId="0" fontId="30" fillId="0" borderId="0" xfId="0" applyFont="1"/>
    <xf numFmtId="0" fontId="30" fillId="0" borderId="0" xfId="0" applyFont="1" applyBorder="1"/>
    <xf numFmtId="0" fontId="31" fillId="0" borderId="0" xfId="0" applyFont="1" applyBorder="1"/>
    <xf numFmtId="0" fontId="30" fillId="0" borderId="37" xfId="0" applyFont="1" applyBorder="1"/>
    <xf numFmtId="0" fontId="30" fillId="0" borderId="29" xfId="0" applyFont="1" applyBorder="1"/>
    <xf numFmtId="0" fontId="30" fillId="0" borderId="38" xfId="0" applyFont="1" applyBorder="1"/>
    <xf numFmtId="0" fontId="30" fillId="0" borderId="30" xfId="0" applyFont="1" applyBorder="1"/>
    <xf numFmtId="0" fontId="30" fillId="0" borderId="40" xfId="0" applyFont="1" applyBorder="1"/>
    <xf numFmtId="0" fontId="30" fillId="0" borderId="41" xfId="0" applyFont="1" applyBorder="1"/>
    <xf numFmtId="0" fontId="31" fillId="0" borderId="39" xfId="0" applyFont="1" applyBorder="1"/>
    <xf numFmtId="0" fontId="30" fillId="0" borderId="39" xfId="0" applyFont="1" applyBorder="1"/>
    <xf numFmtId="0" fontId="30" fillId="0" borderId="43" xfId="0" applyFont="1" applyBorder="1"/>
    <xf numFmtId="0" fontId="30" fillId="0" borderId="31" xfId="0" applyFont="1" applyBorder="1"/>
    <xf numFmtId="0" fontId="30" fillId="0" borderId="42" xfId="0" applyFont="1" applyBorder="1"/>
    <xf numFmtId="0" fontId="30" fillId="0" borderId="32" xfId="0" applyFont="1" applyBorder="1"/>
    <xf numFmtId="0" fontId="32" fillId="0" borderId="29" xfId="0" applyFont="1" applyBorder="1"/>
    <xf numFmtId="0" fontId="33" fillId="2" borderId="29" xfId="0" applyFont="1" applyFill="1" applyBorder="1" applyAlignment="1">
      <alignment horizontal="center"/>
    </xf>
    <xf numFmtId="0" fontId="33" fillId="2" borderId="31" xfId="0" applyFont="1" applyFill="1" applyBorder="1" applyAlignment="1">
      <alignment horizontal="center"/>
    </xf>
    <xf numFmtId="0" fontId="30" fillId="15" borderId="37" xfId="0" applyFont="1" applyFill="1" applyBorder="1"/>
    <xf numFmtId="0" fontId="30" fillId="15" borderId="42" xfId="0" applyFont="1" applyFill="1" applyBorder="1"/>
    <xf numFmtId="0" fontId="30" fillId="15" borderId="30" xfId="0" applyFont="1" applyFill="1" applyBorder="1"/>
    <xf numFmtId="0" fontId="30" fillId="15" borderId="32" xfId="0" applyFont="1" applyFill="1" applyBorder="1"/>
    <xf numFmtId="0" fontId="30" fillId="14" borderId="30" xfId="0" applyFont="1" applyFill="1" applyBorder="1"/>
    <xf numFmtId="0" fontId="30" fillId="14" borderId="32" xfId="0" applyFont="1" applyFill="1" applyBorder="1"/>
    <xf numFmtId="0" fontId="30" fillId="15" borderId="29" xfId="0" applyFont="1" applyFill="1" applyBorder="1"/>
    <xf numFmtId="0" fontId="30" fillId="15" borderId="31" xfId="0" applyFont="1" applyFill="1" applyBorder="1"/>
    <xf numFmtId="0" fontId="32" fillId="0" borderId="0" xfId="0" applyFont="1"/>
    <xf numFmtId="0" fontId="35" fillId="0" borderId="29" xfId="0" applyFont="1" applyBorder="1"/>
    <xf numFmtId="0" fontId="0" fillId="3" borderId="36" xfId="0" applyFill="1" applyBorder="1" applyAlignment="1"/>
    <xf numFmtId="0" fontId="4" fillId="2" borderId="9" xfId="0" applyFont="1" applyFill="1" applyBorder="1" applyAlignment="1">
      <alignment horizontal="center"/>
    </xf>
    <xf numFmtId="0" fontId="8" fillId="0" borderId="1" xfId="0" applyFont="1" applyBorder="1" applyAlignment="1" applyProtection="1">
      <alignment horizontal="center"/>
      <protection locked="0"/>
    </xf>
    <xf numFmtId="0" fontId="26" fillId="0" borderId="34" xfId="0" applyFont="1" applyBorder="1" applyAlignment="1">
      <alignment horizontal="center" vertical="center" wrapText="1"/>
    </xf>
    <xf numFmtId="0" fontId="0" fillId="0" borderId="34" xfId="0" applyBorder="1" applyAlignment="1">
      <alignment horizontal="center" vertical="center" wrapText="1"/>
    </xf>
    <xf numFmtId="0" fontId="9" fillId="0" borderId="0" xfId="0" applyFont="1" applyAlignment="1">
      <alignment horizontal="left" vertical="center" wrapText="1"/>
    </xf>
    <xf numFmtId="0" fontId="9" fillId="0" borderId="0" xfId="0" applyFont="1" applyAlignment="1">
      <alignment horizontal="left" vertical="center"/>
    </xf>
    <xf numFmtId="0" fontId="19" fillId="10" borderId="25" xfId="0" applyFont="1" applyFill="1" applyBorder="1" applyAlignment="1">
      <alignment horizontal="right" vertical="center"/>
    </xf>
    <xf numFmtId="0" fontId="19" fillId="10" borderId="26" xfId="0" applyFont="1" applyFill="1" applyBorder="1" applyAlignment="1">
      <alignment horizontal="right" vertical="center"/>
    </xf>
    <xf numFmtId="0" fontId="15" fillId="0" borderId="0" xfId="0" applyFont="1" applyAlignment="1">
      <alignment horizontal="right" vertical="center"/>
    </xf>
    <xf numFmtId="0" fontId="15" fillId="0" borderId="9" xfId="0" applyFont="1" applyBorder="1" applyAlignment="1">
      <alignment horizontal="right" vertical="center"/>
    </xf>
    <xf numFmtId="0" fontId="11" fillId="7" borderId="27" xfId="0" applyFont="1" applyFill="1" applyBorder="1" applyAlignment="1">
      <alignment horizontal="center" vertical="center"/>
    </xf>
    <xf numFmtId="0" fontId="11" fillId="7" borderId="18" xfId="0" applyFont="1" applyFill="1" applyBorder="1" applyAlignment="1">
      <alignment horizontal="center" vertical="center"/>
    </xf>
    <xf numFmtId="0" fontId="11" fillId="7" borderId="28" xfId="0" applyFont="1" applyFill="1" applyBorder="1" applyAlignment="1">
      <alignment horizontal="center" vertical="center"/>
    </xf>
    <xf numFmtId="0" fontId="11" fillId="7" borderId="25" xfId="0" applyFont="1" applyFill="1" applyBorder="1" applyAlignment="1">
      <alignment horizontal="center" vertical="center"/>
    </xf>
    <xf numFmtId="0" fontId="11" fillId="7" borderId="23" xfId="0" applyFont="1" applyFill="1" applyBorder="1" applyAlignment="1">
      <alignment horizontal="center" vertical="center"/>
    </xf>
    <xf numFmtId="0" fontId="11" fillId="7" borderId="24" xfId="0" applyFont="1" applyFill="1" applyBorder="1" applyAlignment="1">
      <alignment horizontal="center" vertical="center"/>
    </xf>
    <xf numFmtId="0" fontId="0" fillId="0" borderId="0" xfId="0" applyAlignment="1">
      <alignment horizontal="center"/>
    </xf>
    <xf numFmtId="0" fontId="34" fillId="0" borderId="40" xfId="0" applyFont="1" applyBorder="1" applyAlignment="1">
      <alignment horizontal="center" vertical="center"/>
    </xf>
    <xf numFmtId="0" fontId="34" fillId="0" borderId="43" xfId="0" applyFont="1" applyBorder="1" applyAlignment="1">
      <alignment horizontal="center" vertical="center"/>
    </xf>
    <xf numFmtId="0" fontId="35" fillId="0" borderId="38" xfId="0" applyFont="1" applyBorder="1" applyAlignment="1">
      <alignment horizontal="center" vertical="center"/>
    </xf>
    <xf numFmtId="0" fontId="35" fillId="0" borderId="0" xfId="0" applyFont="1" applyAlignment="1">
      <alignment horizontal="center" vertical="center"/>
    </xf>
    <xf numFmtId="0" fontId="32" fillId="0" borderId="0" xfId="0" applyFont="1" applyAlignment="1">
      <alignment horizontal="center" vertical="center" wrapText="1"/>
    </xf>
    <xf numFmtId="0" fontId="3" fillId="0" borderId="0" xfId="0" applyFont="1" applyAlignment="1">
      <alignment horizontal="center" vertical="center" wrapText="1"/>
    </xf>
    <xf numFmtId="0" fontId="31" fillId="0" borderId="29" xfId="0" applyFont="1" applyBorder="1" applyAlignment="1">
      <alignment horizontal="left" vertical="center" wrapText="1"/>
    </xf>
    <xf numFmtId="0" fontId="31" fillId="0" borderId="38" xfId="0" applyFont="1" applyBorder="1" applyAlignment="1">
      <alignment horizontal="left" vertical="center" wrapText="1"/>
    </xf>
    <xf numFmtId="0" fontId="31" fillId="0" borderId="31" xfId="0" applyFont="1" applyBorder="1" applyAlignment="1">
      <alignment horizontal="left" vertical="center" wrapText="1"/>
    </xf>
    <xf numFmtId="0" fontId="31" fillId="0" borderId="0" xfId="0" applyFont="1" applyBorder="1" applyAlignment="1">
      <alignment horizontal="left" vertical="center" wrapText="1"/>
    </xf>
    <xf numFmtId="0" fontId="31" fillId="0" borderId="42" xfId="0" applyFont="1" applyBorder="1" applyAlignment="1">
      <alignment horizontal="left" vertical="center" wrapText="1"/>
    </xf>
    <xf numFmtId="0" fontId="30" fillId="14" borderId="40" xfId="0" applyFont="1" applyFill="1" applyBorder="1" applyAlignment="1">
      <alignment horizontal="left" vertical="center" wrapText="1"/>
    </xf>
    <xf numFmtId="0" fontId="0" fillId="14" borderId="39" xfId="0" applyFill="1" applyBorder="1" applyAlignment="1">
      <alignment horizontal="left" vertical="center" wrapText="1"/>
    </xf>
    <xf numFmtId="0" fontId="0" fillId="14" borderId="32" xfId="0" applyFill="1" applyBorder="1" applyAlignment="1">
      <alignment horizontal="left" vertical="center" wrapText="1"/>
    </xf>
    <xf numFmtId="0" fontId="31" fillId="0" borderId="37" xfId="0" applyFont="1" applyBorder="1" applyAlignment="1">
      <alignment horizontal="left" vertical="center" wrapText="1"/>
    </xf>
    <xf numFmtId="0" fontId="31" fillId="0" borderId="30" xfId="0" applyFont="1" applyBorder="1" applyAlignment="1">
      <alignment horizontal="left" vertical="center" wrapText="1"/>
    </xf>
    <xf numFmtId="0" fontId="31" fillId="0" borderId="39" xfId="0" applyFont="1" applyBorder="1" applyAlignment="1">
      <alignment horizontal="left" vertical="center" wrapText="1"/>
    </xf>
    <xf numFmtId="0" fontId="31" fillId="0" borderId="32" xfId="0" applyFont="1" applyBorder="1" applyAlignment="1">
      <alignment horizontal="left" vertical="center" wrapText="1"/>
    </xf>
    <xf numFmtId="0" fontId="33" fillId="2" borderId="40" xfId="0" applyFont="1" applyFill="1" applyBorder="1" applyAlignment="1">
      <alignment horizontal="center" vertical="center"/>
    </xf>
    <xf numFmtId="0" fontId="0" fillId="0" borderId="41" xfId="0" applyBorder="1" applyAlignment="1">
      <alignment horizontal="center" vertical="center"/>
    </xf>
    <xf numFmtId="0" fontId="0" fillId="0" borderId="43" xfId="0"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120650</xdr:colOff>
          <xdr:row>47</xdr:row>
          <xdr:rowOff>38100</xdr:rowOff>
        </xdr:from>
        <xdr:to>
          <xdr:col>1</xdr:col>
          <xdr:colOff>1974850</xdr:colOff>
          <xdr:row>51</xdr:row>
          <xdr:rowOff>6350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Calibri"/>
                  <a:ea typeface="Calibri"/>
                  <a:cs typeface="Calibri"/>
                </a:rPr>
                <a:t>Overall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47</xdr:row>
          <xdr:rowOff>69850</xdr:rowOff>
        </xdr:from>
        <xdr:to>
          <xdr:col>2</xdr:col>
          <xdr:colOff>1981200</xdr:colOff>
          <xdr:row>50</xdr:row>
          <xdr:rowOff>184150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000-00002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Calibri"/>
                  <a:ea typeface="Calibri"/>
                  <a:cs typeface="Calibri"/>
                </a:rPr>
                <a:t>All Victims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101600</xdr:colOff>
          <xdr:row>47</xdr:row>
          <xdr:rowOff>69850</xdr:rowOff>
        </xdr:from>
        <xdr:to>
          <xdr:col>3</xdr:col>
          <xdr:colOff>1936750</xdr:colOff>
          <xdr:row>50</xdr:row>
          <xdr:rowOff>184150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000-00002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Calibri"/>
                  <a:ea typeface="Calibri"/>
                  <a:cs typeface="Calibri"/>
                </a:rPr>
                <a:t>Bystander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108</xdr:row>
      <xdr:rowOff>0</xdr:rowOff>
    </xdr:from>
    <xdr:to>
      <xdr:col>0</xdr:col>
      <xdr:colOff>5320393</xdr:colOff>
      <xdr:row>122</xdr:row>
      <xdr:rowOff>181906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3612143"/>
          <a:ext cx="5320393" cy="28489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0</xdr:row>
          <xdr:rowOff>82550</xdr:rowOff>
        </xdr:from>
        <xdr:to>
          <xdr:col>11</xdr:col>
          <xdr:colOff>876300</xdr:colOff>
          <xdr:row>2</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CA" sz="1200" b="1" i="1" u="none" strike="noStrike" baseline="0">
                  <a:solidFill>
                    <a:srgbClr val="000000"/>
                  </a:solidFill>
                  <a:latin typeface="Arial"/>
                  <a:cs typeface="Arial"/>
                </a:rPr>
                <a:t>Copy Draw for Scoring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101600</xdr:colOff>
          <xdr:row>0</xdr:row>
          <xdr:rowOff>139700</xdr:rowOff>
        </xdr:from>
        <xdr:to>
          <xdr:col>14</xdr:col>
          <xdr:colOff>565150</xdr:colOff>
          <xdr:row>2</xdr:row>
          <xdr:rowOff>82550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CA" sz="1200" b="1" i="0" u="none" strike="noStrike" baseline="0">
                  <a:solidFill>
                    <a:srgbClr val="000000"/>
                  </a:solidFill>
                  <a:latin typeface="Arial"/>
                  <a:cs typeface="Arial"/>
                </a:rPr>
                <a:t>Reset Draw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2047874</xdr:colOff>
      <xdr:row>1</xdr:row>
      <xdr:rowOff>191698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047874" cy="1096573"/>
        </a:xfrm>
        <a:prstGeom prst="rect">
          <a:avLst/>
        </a:prstGeom>
      </xdr:spPr>
    </xdr:pic>
    <xdr:clientData/>
  </xdr:twoCellAnchor>
  <mc:AlternateContent xmlns:mc="http://schemas.openxmlformats.org/markup-compatibility/2006">
    <mc:Choice xmlns:a14="http://schemas.microsoft.com/office/drawing/2010/main" Requires="a14">
      <xdr:twoCellAnchor>
        <xdr:from>
          <xdr:col>25</xdr:col>
          <xdr:colOff>190500</xdr:colOff>
          <xdr:row>0</xdr:row>
          <xdr:rowOff>158750</xdr:rowOff>
        </xdr:from>
        <xdr:to>
          <xdr:col>29</xdr:col>
          <xdr:colOff>336550</xdr:colOff>
          <xdr:row>0</xdr:row>
          <xdr:rowOff>723900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Calibri"/>
                  <a:ea typeface="Calibri"/>
                  <a:cs typeface="Calibri"/>
                </a:rPr>
                <a:t>Print Results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44"/>
  <sheetViews>
    <sheetView topLeftCell="A16" zoomScale="90" zoomScaleNormal="90" workbookViewId="0">
      <selection activeCell="E10" sqref="E10"/>
    </sheetView>
  </sheetViews>
  <sheetFormatPr baseColWidth="10" defaultColWidth="8.90625" defaultRowHeight="14.5"/>
  <cols>
    <col min="1" max="1" width="11.36328125" bestFit="1" customWidth="1"/>
    <col min="2" max="7" width="30.6328125" customWidth="1"/>
  </cols>
  <sheetData>
    <row r="1" spans="1:7" ht="30.75" customHeight="1">
      <c r="A1" s="3"/>
      <c r="B1" s="4" t="s">
        <v>59</v>
      </c>
      <c r="C1" s="4" t="s">
        <v>76</v>
      </c>
      <c r="D1" s="4" t="s">
        <v>48</v>
      </c>
      <c r="E1" s="4" t="s">
        <v>49</v>
      </c>
      <c r="F1" s="4" t="s">
        <v>50</v>
      </c>
      <c r="G1" s="4" t="s">
        <v>51</v>
      </c>
    </row>
    <row r="2" spans="1:7" ht="60" customHeight="1">
      <c r="A2" s="5">
        <f>IF(B2="", "Blank",1)</f>
        <v>1</v>
      </c>
      <c r="B2" s="2" t="s">
        <v>55</v>
      </c>
      <c r="C2" s="2" t="s">
        <v>27</v>
      </c>
      <c r="D2" s="2" t="s">
        <v>31</v>
      </c>
      <c r="E2" s="2" t="s">
        <v>37</v>
      </c>
      <c r="F2" s="26" t="str">
        <f>IF(B2='Drop Down Info'!$A$73,'Drop Down Info'!$A$59,IF(B2='Drop Down Info'!$A$74,'Drop Down Info'!$A$60,IF(B2='Drop Down Info'!$A$75,'Drop Down Info'!$A$60,IF(B2="","",'Drop Down Info'!$A$61))))</f>
        <v>Non/Injured Swimmer at time of landing</v>
      </c>
      <c r="G2" s="26" t="str">
        <f>IF(B2='Drop Down Info'!$A$73,'Drop Down Info'!$A$68,IF(B2='Drop Down Info'!$A$74,'Drop Down Info'!$A$67,IF(B2='Drop Down Info'!$A$75,'Drop Down Info'!$A$67,IF(B2="","",'Drop Down Info'!$A$66))))</f>
        <v>Non/Injured Swimmer</v>
      </c>
    </row>
    <row r="3" spans="1:7" ht="60" customHeight="1">
      <c r="A3" s="5">
        <f>IF(B3="", "Blank",2)</f>
        <v>2</v>
      </c>
      <c r="B3" s="2" t="s">
        <v>55</v>
      </c>
      <c r="C3" s="2" t="s">
        <v>27</v>
      </c>
      <c r="D3" s="2" t="s">
        <v>32</v>
      </c>
      <c r="E3" s="2" t="s">
        <v>37</v>
      </c>
      <c r="F3" s="26" t="str">
        <f>IF(B3='Drop Down Info'!$A$73,'Drop Down Info'!$A$59,IF(B3='Drop Down Info'!$A$74,'Drop Down Info'!$A$60,IF(B3='Drop Down Info'!$A$75,'Drop Down Info'!$A$60,IF(B3="","",'Drop Down Info'!$A$61))))</f>
        <v>Non/Injured Swimmer at time of landing</v>
      </c>
      <c r="G3" s="26" t="str">
        <f>IF(B3='Drop Down Info'!$A$73,'Drop Down Info'!$A$68,IF(B3='Drop Down Info'!$A$74,'Drop Down Info'!$A$67,IF(B3='Drop Down Info'!$A$75,'Drop Down Info'!$A$67,IF(B3="","",'Drop Down Info'!$A$66))))</f>
        <v>Non/Injured Swimmer</v>
      </c>
    </row>
    <row r="4" spans="1:7" ht="60" customHeight="1">
      <c r="A4" s="5">
        <f>IF(B4="", "Blank",3)</f>
        <v>3</v>
      </c>
      <c r="B4" s="2" t="s">
        <v>54</v>
      </c>
      <c r="C4" s="2" t="s">
        <v>27</v>
      </c>
      <c r="D4" s="2" t="s">
        <v>32</v>
      </c>
      <c r="E4" s="2" t="s">
        <v>36</v>
      </c>
      <c r="F4" s="26" t="str">
        <f>IF(B4='Drop Down Info'!$A$73,'Drop Down Info'!$A$59,IF(B4='Drop Down Info'!$A$74,'Drop Down Info'!$A$60,IF(B4='Drop Down Info'!$A$75,'Drop Down Info'!$A$60,IF(B4="","",'Drop Down Info'!$A$61))))</f>
        <v>Weak Swimmer/Mobile at time of landing</v>
      </c>
      <c r="G4" s="26" t="str">
        <f>IF(B4='Drop Down Info'!$A$73,'Drop Down Info'!$A$68,IF(B4='Drop Down Info'!$A$74,'Drop Down Info'!$A$67,IF(B4='Drop Down Info'!$A$75,'Drop Down Info'!$A$67,IF(B4="","",'Drop Down Info'!$A$66))))</f>
        <v>Weak Swimmer/Mobile</v>
      </c>
    </row>
    <row r="5" spans="1:7" ht="60" customHeight="1">
      <c r="A5" s="5">
        <f>IF(B5="", "Blank",4)</f>
        <v>4</v>
      </c>
      <c r="B5" s="2" t="s">
        <v>54</v>
      </c>
      <c r="C5" s="2" t="s">
        <v>28</v>
      </c>
      <c r="D5" s="2" t="s">
        <v>31</v>
      </c>
      <c r="E5" s="2" t="s">
        <v>36</v>
      </c>
      <c r="F5" s="26" t="str">
        <f>IF(B5='Drop Down Info'!$A$73,'Drop Down Info'!$A$59,IF(B5='Drop Down Info'!$A$74,'Drop Down Info'!$A$60,IF(B5='Drop Down Info'!$A$75,'Drop Down Info'!$A$60,IF(B5="","",'Drop Down Info'!$A$61))))</f>
        <v>Weak Swimmer/Mobile at time of landing</v>
      </c>
      <c r="G5" s="26" t="str">
        <f>IF(B5='Drop Down Info'!$A$73,'Drop Down Info'!$A$68,IF(B5='Drop Down Info'!$A$74,'Drop Down Info'!$A$67,IF(B5='Drop Down Info'!$A$75,'Drop Down Info'!$A$67,IF(B5="","",'Drop Down Info'!$A$66))))</f>
        <v>Weak Swimmer/Mobile</v>
      </c>
    </row>
    <row r="6" spans="1:7" ht="60" customHeight="1">
      <c r="A6" s="5">
        <f>IF(B6="", "Blank",5)</f>
        <v>5</v>
      </c>
      <c r="B6" s="2" t="s">
        <v>56</v>
      </c>
      <c r="C6" s="2" t="s">
        <v>28</v>
      </c>
      <c r="D6" s="2" t="s">
        <v>32</v>
      </c>
      <c r="E6" s="2" t="s">
        <v>37</v>
      </c>
      <c r="F6" s="26" t="str">
        <f>IF(B6='Drop Down Info'!$A$73,'Drop Down Info'!$A$59,IF(B6='Drop Down Info'!$A$74,'Drop Down Info'!$A$60,IF(B6='Drop Down Info'!$A$75,'Drop Down Info'!$A$60,IF(B6="","",'Drop Down Info'!$A$61))))</f>
        <v>Non/Injured Swimmer at time of landing</v>
      </c>
      <c r="G6" s="26" t="str">
        <f>IF(B6='Drop Down Info'!$A$73,'Drop Down Info'!$A$68,IF(B6='Drop Down Info'!$A$74,'Drop Down Info'!$A$67,IF(B6='Drop Down Info'!$A$75,'Drop Down Info'!$A$67,IF(B6="","",'Drop Down Info'!$A$66))))</f>
        <v>Non/Injured Swimmer</v>
      </c>
    </row>
    <row r="7" spans="1:7" ht="60" customHeight="1">
      <c r="A7" s="5">
        <f>IF(B7="", "Blank",6)</f>
        <v>6</v>
      </c>
      <c r="B7" s="2" t="s">
        <v>56</v>
      </c>
      <c r="C7" s="2" t="s">
        <v>28</v>
      </c>
      <c r="D7" s="2" t="s">
        <v>31</v>
      </c>
      <c r="E7" s="2" t="s">
        <v>35</v>
      </c>
      <c r="F7" s="26" t="str">
        <f>IF(B7='Drop Down Info'!$A$73,'Drop Down Info'!$A$59,IF(B7='Drop Down Info'!$A$74,'Drop Down Info'!$A$60,IF(B7='Drop Down Info'!$A$75,'Drop Down Info'!$A$60,IF(B7="","",'Drop Down Info'!$A$61))))</f>
        <v>Non/Injured Swimmer at time of landing</v>
      </c>
      <c r="G7" s="26" t="str">
        <f>IF(B7='Drop Down Info'!$A$73,'Drop Down Info'!$A$68,IF(B7='Drop Down Info'!$A$74,'Drop Down Info'!$A$67,IF(B7='Drop Down Info'!$A$75,'Drop Down Info'!$A$67,IF(B7="","",'Drop Down Info'!$A$66))))</f>
        <v>Non/Injured Swimmer</v>
      </c>
    </row>
    <row r="8" spans="1:7" ht="60" customHeight="1">
      <c r="A8" s="5">
        <f>IF(B8="", "Blank",7)</f>
        <v>7</v>
      </c>
      <c r="B8" s="2" t="s">
        <v>56</v>
      </c>
      <c r="C8" s="2" t="s">
        <v>26</v>
      </c>
      <c r="D8" s="2" t="s">
        <v>58</v>
      </c>
      <c r="E8" s="2" t="s">
        <v>37</v>
      </c>
      <c r="F8" s="26" t="str">
        <f>IF(B8='Drop Down Info'!$A$73,'Drop Down Info'!$A$59,IF(B8='Drop Down Info'!$A$74,'Drop Down Info'!$A$60,IF(B8='Drop Down Info'!$A$75,'Drop Down Info'!$A$60,IF(B8="","",'Drop Down Info'!$A$61))))</f>
        <v>Non/Injured Swimmer at time of landing</v>
      </c>
      <c r="G8" s="26" t="str">
        <f>IF(B8='Drop Down Info'!$A$73,'Drop Down Info'!$A$68,IF(B8='Drop Down Info'!$A$74,'Drop Down Info'!$A$67,IF(B8='Drop Down Info'!$A$75,'Drop Down Info'!$A$67,IF(B8="","",'Drop Down Info'!$A$66))))</f>
        <v>Non/Injured Swimmer</v>
      </c>
    </row>
    <row r="9" spans="1:7" ht="60" customHeight="1">
      <c r="A9" s="5">
        <f>IF(B9="", "Blank",8)</f>
        <v>8</v>
      </c>
      <c r="B9" s="2" t="s">
        <v>56</v>
      </c>
      <c r="C9" s="2" t="s">
        <v>27</v>
      </c>
      <c r="D9" s="2" t="s">
        <v>58</v>
      </c>
      <c r="E9" s="2" t="s">
        <v>37</v>
      </c>
      <c r="F9" s="26" t="str">
        <f>IF(B9='Drop Down Info'!$A$73,'Drop Down Info'!$A$59,IF(B9='Drop Down Info'!$A$74,'Drop Down Info'!$A$60,IF(B9='Drop Down Info'!$A$75,'Drop Down Info'!$A$60,IF(B9="","",'Drop Down Info'!$A$61))))</f>
        <v>Non/Injured Swimmer at time of landing</v>
      </c>
      <c r="G9" s="26" t="str">
        <f>IF(B9='Drop Down Info'!$A$73,'Drop Down Info'!$A$68,IF(B9='Drop Down Info'!$A$74,'Drop Down Info'!$A$67,IF(B9='Drop Down Info'!$A$75,'Drop Down Info'!$A$67,IF(B9="","",'Drop Down Info'!$A$66))))</f>
        <v>Non/Injured Swimmer</v>
      </c>
    </row>
    <row r="10" spans="1:7" ht="60" customHeight="1">
      <c r="A10" s="5">
        <f>IF(B10="", "Blank",9)</f>
        <v>9</v>
      </c>
      <c r="B10" s="2" t="s">
        <v>152</v>
      </c>
      <c r="C10" s="2" t="s">
        <v>26</v>
      </c>
      <c r="D10" s="2" t="s">
        <v>58</v>
      </c>
      <c r="E10" s="2" t="s">
        <v>37</v>
      </c>
      <c r="F10" s="26" t="str">
        <f>IF(B10='Drop Down Info'!$A$73,'Drop Down Info'!$A$59,IF(B10='Drop Down Info'!$A$74,'Drop Down Info'!$A$60,IF(B10='Drop Down Info'!$A$75,'Drop Down Info'!$A$60,IF(B10="","",'Drop Down Info'!$A$61))))</f>
        <v>Unconscious/Non breathing at time of landing</v>
      </c>
      <c r="G10" s="26" t="str">
        <f>IF(B10='Drop Down Info'!$A$73,'Drop Down Info'!$A$68,IF(B10='Drop Down Info'!$A$74,'Drop Down Info'!$A$67,IF(B10='Drop Down Info'!$A$75,'Drop Down Info'!$A$67,IF(B10="","",'Drop Down Info'!$A$66))))</f>
        <v>Unconscious/Non breathing</v>
      </c>
    </row>
    <row r="11" spans="1:7" ht="60" customHeight="1">
      <c r="A11" s="5" t="str">
        <f>IF(B11="", "Blank",10)</f>
        <v>Blank</v>
      </c>
      <c r="B11" s="2"/>
      <c r="C11" s="2"/>
      <c r="D11" s="2"/>
      <c r="E11" s="2"/>
      <c r="F11" s="26" t="str">
        <f>IF(B11='Drop Down Info'!$A$73,'Drop Down Info'!$A$59,IF(B11='Drop Down Info'!$A$74,'Drop Down Info'!$A$60,IF(B11='Drop Down Info'!$A$75,'Drop Down Info'!$A$60,IF(B11="","",'Drop Down Info'!$A$61))))</f>
        <v/>
      </c>
      <c r="G11" s="26" t="str">
        <f>IF(B11='Drop Down Info'!$A$73,'Drop Down Info'!$A$68,IF(B11='Drop Down Info'!$A$74,'Drop Down Info'!$A$67,IF(B11='Drop Down Info'!$A$75,'Drop Down Info'!$A$67,IF(B11="","",'Drop Down Info'!$A$66))))</f>
        <v/>
      </c>
    </row>
    <row r="12" spans="1:7" ht="60" customHeight="1">
      <c r="A12" s="5" t="str">
        <f>IF(B12="", "Blank",11)</f>
        <v>Blank</v>
      </c>
      <c r="B12" s="2"/>
      <c r="C12" s="2"/>
      <c r="D12" s="2"/>
      <c r="E12" s="2"/>
      <c r="F12" s="26" t="str">
        <f>IF(B12='Drop Down Info'!$A$73,'Drop Down Info'!$A$59,IF(B12='Drop Down Info'!$A$74,'Drop Down Info'!$A$60,IF(B12='Drop Down Info'!$A$75,'Drop Down Info'!$A$60,IF(B12="","",'Drop Down Info'!$A$61))))</f>
        <v/>
      </c>
      <c r="G12" s="26" t="str">
        <f>IF(B12='Drop Down Info'!$A$73,'Drop Down Info'!$A$68,IF(B12='Drop Down Info'!$A$74,'Drop Down Info'!$A$67,IF(B12='Drop Down Info'!$A$75,'Drop Down Info'!$A$67,IF(B12="","",'Drop Down Info'!$A$66))))</f>
        <v/>
      </c>
    </row>
    <row r="13" spans="1:7" ht="60" customHeight="1">
      <c r="A13" s="5" t="str">
        <f>IF(B13="", "Blank",12)</f>
        <v>Blank</v>
      </c>
      <c r="B13" s="2"/>
      <c r="C13" s="2"/>
      <c r="D13" s="2"/>
      <c r="E13" s="2"/>
      <c r="F13" s="26" t="str">
        <f>IF(B13='Drop Down Info'!$A$73,'Drop Down Info'!$A$59,IF(B13='Drop Down Info'!$A$74,'Drop Down Info'!$A$60,IF(B13='Drop Down Info'!$A$75,'Drop Down Info'!$A$60,IF(B13="","",'Drop Down Info'!$A$61))))</f>
        <v/>
      </c>
      <c r="G13" s="26" t="str">
        <f>IF(B13='Drop Down Info'!$A$73,'Drop Down Info'!$A$68,IF(B13='Drop Down Info'!$A$74,'Drop Down Info'!$A$67,IF(B13='Drop Down Info'!$A$75,'Drop Down Info'!$A$67,IF(B13="","",'Drop Down Info'!$A$66))))</f>
        <v/>
      </c>
    </row>
    <row r="14" spans="1:7" ht="60" customHeight="1">
      <c r="A14" s="5" t="str">
        <f>IF(B14="", "Blank",13)</f>
        <v>Blank</v>
      </c>
      <c r="B14" s="2"/>
      <c r="C14" s="2"/>
      <c r="D14" s="2"/>
      <c r="E14" s="2"/>
      <c r="F14" s="26" t="str">
        <f>IF(B14='Drop Down Info'!$A$73,'Drop Down Info'!$A$59,IF(B14='Drop Down Info'!$A$74,'Drop Down Info'!$A$60,IF(B14='Drop Down Info'!$A$75,'Drop Down Info'!$A$60,IF(B14="","",'Drop Down Info'!$A$61))))</f>
        <v/>
      </c>
      <c r="G14" s="26" t="str">
        <f>IF(B14='Drop Down Info'!$A$73,'Drop Down Info'!$A$68,IF(B14='Drop Down Info'!$A$74,'Drop Down Info'!$A$67,IF(B14='Drop Down Info'!$A$75,'Drop Down Info'!$A$67,IF(B14="","",'Drop Down Info'!$A$66))))</f>
        <v/>
      </c>
    </row>
    <row r="15" spans="1:7" ht="60" customHeight="1">
      <c r="A15" s="5" t="str">
        <f>IF(B15="", "Blank",14)</f>
        <v>Blank</v>
      </c>
      <c r="B15" s="2"/>
      <c r="C15" s="2"/>
      <c r="D15" s="2"/>
      <c r="E15" s="2"/>
      <c r="F15" s="26" t="str">
        <f>IF(B15='Drop Down Info'!$A$73,'Drop Down Info'!$A$59,IF(B15='Drop Down Info'!$A$74,'Drop Down Info'!$A$60,IF(B15='Drop Down Info'!$A$75,'Drop Down Info'!$A$60,IF(B15="","",'Drop Down Info'!$A$61))))</f>
        <v/>
      </c>
      <c r="G15" s="26" t="str">
        <f>IF(B15='Drop Down Info'!$A$73,'Drop Down Info'!$A$68,IF(B15='Drop Down Info'!$A$74,'Drop Down Info'!$A$67,IF(B15='Drop Down Info'!$A$75,'Drop Down Info'!$A$67,IF(B15="","",'Drop Down Info'!$A$66))))</f>
        <v/>
      </c>
    </row>
    <row r="16" spans="1:7" ht="60" customHeight="1">
      <c r="A16" s="5" t="str">
        <f>IF(B16="", "Blank",15)</f>
        <v>Blank</v>
      </c>
      <c r="B16" s="2"/>
      <c r="C16" s="2"/>
      <c r="D16" s="2"/>
      <c r="E16" s="2"/>
      <c r="F16" s="26" t="str">
        <f>IF(B16='Drop Down Info'!$A$73,'Drop Down Info'!$A$59,IF(B16='Drop Down Info'!$A$74,'Drop Down Info'!$A$60,IF(B16='Drop Down Info'!$A$75,'Drop Down Info'!$A$60,IF(B16="","",'Drop Down Info'!$A$61))))</f>
        <v/>
      </c>
      <c r="G16" s="26" t="str">
        <f>IF(B16='Drop Down Info'!$A$73,'Drop Down Info'!$A$68,IF(B16='Drop Down Info'!$A$74,'Drop Down Info'!$A$67,IF(B16='Drop Down Info'!$A$75,'Drop Down Info'!$A$67,IF(B16="","",'Drop Down Info'!$A$66))))</f>
        <v/>
      </c>
    </row>
    <row r="17" spans="1:7">
      <c r="A17" s="6"/>
      <c r="B17" s="6"/>
      <c r="C17" s="6"/>
      <c r="D17" s="6"/>
      <c r="E17" s="6"/>
      <c r="F17" s="6"/>
      <c r="G17" s="6"/>
    </row>
    <row r="18" spans="1:7" ht="30" customHeight="1">
      <c r="A18" s="7"/>
      <c r="B18" s="7"/>
      <c r="C18" s="4" t="s">
        <v>62</v>
      </c>
      <c r="D18" s="4" t="s">
        <v>63</v>
      </c>
      <c r="E18" s="4" t="s">
        <v>64</v>
      </c>
      <c r="F18" s="4" t="s">
        <v>65</v>
      </c>
      <c r="G18" s="4" t="s">
        <v>66</v>
      </c>
    </row>
    <row r="19" spans="1:7" ht="60" customHeight="1">
      <c r="A19" s="5" t="s">
        <v>61</v>
      </c>
      <c r="B19" s="5" t="s">
        <v>60</v>
      </c>
      <c r="C19" s="2" t="s">
        <v>2</v>
      </c>
      <c r="D19" s="2" t="s">
        <v>6</v>
      </c>
      <c r="E19" s="2" t="s">
        <v>12</v>
      </c>
      <c r="F19" s="2" t="s">
        <v>16</v>
      </c>
      <c r="G19" s="2" t="s">
        <v>23</v>
      </c>
    </row>
    <row r="20" spans="1:7" ht="14.25" customHeight="1">
      <c r="A20" s="10"/>
      <c r="B20" s="10"/>
      <c r="C20" s="60"/>
      <c r="D20" s="60"/>
      <c r="E20" s="60"/>
      <c r="F20" s="60"/>
      <c r="G20" s="60"/>
    </row>
    <row r="21" spans="1:7" ht="30" customHeight="1">
      <c r="A21" s="6"/>
      <c r="B21" s="23" t="s">
        <v>121</v>
      </c>
      <c r="C21" s="23" t="s">
        <v>76</v>
      </c>
      <c r="D21" s="23" t="s">
        <v>107</v>
      </c>
      <c r="E21" s="23" t="s">
        <v>108</v>
      </c>
      <c r="F21" s="23" t="s">
        <v>109</v>
      </c>
      <c r="G21" s="23" t="s">
        <v>110</v>
      </c>
    </row>
    <row r="22" spans="1:7" ht="60" customHeight="1">
      <c r="A22" s="5" t="s">
        <v>57</v>
      </c>
      <c r="B22" s="27" t="s">
        <v>122</v>
      </c>
      <c r="C22" s="61" t="str">
        <f>+'Drop Down Info'!$D$79</f>
        <v>Recognition that they are a bystander and cooperative.</v>
      </c>
      <c r="D22" s="61" t="str">
        <f>+'Drop Down Info'!$E$79</f>
        <v>Questions bystander to assess information about the scenario.
(low marks for not giving the bystander directions – maximum 5 marks for this section)</v>
      </c>
      <c r="E22" s="61" t="str">
        <f>+'Drop Down Info'!$F$79</f>
        <v>Rescuer provides directions or instructions to assist the rescue scenario such as; asst. removals, reassure victims, call emergency services.</v>
      </c>
      <c r="F22" s="61" t="str">
        <f>+'Drop Down Info'!$G$79</f>
        <v>Check periodically to ensure that bystander has followed the directions of the Rescuer throughout rescue</v>
      </c>
      <c r="G22" s="61" t="str">
        <f>+'Drop Down Info'!$H$79</f>
        <v>Provides feedback to bystander on their actions to encourage them to assist with victim support</v>
      </c>
    </row>
    <row r="25" spans="1:7">
      <c r="A25" s="6"/>
      <c r="B25" s="4" t="s">
        <v>52</v>
      </c>
      <c r="C25" s="4" t="s">
        <v>76</v>
      </c>
      <c r="D25" s="4" t="s">
        <v>48</v>
      </c>
      <c r="E25" s="4" t="s">
        <v>49</v>
      </c>
      <c r="F25" s="4" t="s">
        <v>50</v>
      </c>
      <c r="G25" s="4" t="s">
        <v>51</v>
      </c>
    </row>
    <row r="26" spans="1:7">
      <c r="A26" s="5">
        <v>1</v>
      </c>
      <c r="B26" s="1" t="str">
        <f>+B2</f>
        <v>Non Swimmer</v>
      </c>
      <c r="C26" s="5">
        <f>VLOOKUP(C2,'Drop Down Info'!$A$38:$B$40,2,FALSE)</f>
        <v>1.25</v>
      </c>
      <c r="D26" s="5">
        <f>VLOOKUP(D2,'Drop Down Info'!$A$45:$B$47,2,FALSE)</f>
        <v>1.5</v>
      </c>
      <c r="E26" s="5">
        <f>VLOOKUP(E2,'Drop Down Info'!$A$52:$B$54,2,FALSE)</f>
        <v>1</v>
      </c>
      <c r="F26" s="5">
        <f>VLOOKUP(F2,'Drop Down Info'!$A$59:$B$61,2,FALSE)</f>
        <v>1.25</v>
      </c>
      <c r="G26" s="5">
        <f>VLOOKUP(G2,'Drop Down Info'!$A$66:$B$68,2,FALSE)</f>
        <v>1.25</v>
      </c>
    </row>
    <row r="27" spans="1:7">
      <c r="A27" s="5">
        <v>2</v>
      </c>
      <c r="B27" s="1" t="str">
        <f t="shared" ref="B27:B40" si="0">+B3</f>
        <v>Non Swimmer</v>
      </c>
      <c r="C27" s="5">
        <f>VLOOKUP(C3,'Drop Down Info'!$A$38:$B$40,2,FALSE)</f>
        <v>1.25</v>
      </c>
      <c r="D27" s="5">
        <f>VLOOKUP(D3,'Drop Down Info'!$A$45:$B$47,2,FALSE)</f>
        <v>1.25</v>
      </c>
      <c r="E27" s="5">
        <f>VLOOKUP(E3,'Drop Down Info'!$A$52:$B$54,2,FALSE)</f>
        <v>1</v>
      </c>
      <c r="F27" s="5">
        <f>VLOOKUP(F3,'Drop Down Info'!$A$59:$B$61,2,FALSE)</f>
        <v>1.25</v>
      </c>
      <c r="G27" s="5">
        <f>VLOOKUP(G3,'Drop Down Info'!$A$66:$B$68,2,FALSE)</f>
        <v>1.25</v>
      </c>
    </row>
    <row r="28" spans="1:7">
      <c r="A28" s="5">
        <v>3</v>
      </c>
      <c r="B28" s="1" t="str">
        <f t="shared" si="0"/>
        <v>Weak Swimmer</v>
      </c>
      <c r="C28" s="5">
        <f>VLOOKUP(C4,'Drop Down Info'!$A$38:$B$40,2,FALSE)</f>
        <v>1.25</v>
      </c>
      <c r="D28" s="5">
        <f>VLOOKUP(D4,'Drop Down Info'!$A$45:$B$47,2,FALSE)</f>
        <v>1.25</v>
      </c>
      <c r="E28" s="5">
        <f>VLOOKUP(E4,'Drop Down Info'!$A$52:$B$54,2,FALSE)</f>
        <v>1.25</v>
      </c>
      <c r="F28" s="5">
        <f>VLOOKUP(F4,'Drop Down Info'!$A$59:$B$61,2,FALSE)</f>
        <v>1.5</v>
      </c>
      <c r="G28" s="5">
        <f>VLOOKUP(G4,'Drop Down Info'!$A$66:$B$68,2,FALSE)</f>
        <v>1</v>
      </c>
    </row>
    <row r="29" spans="1:7">
      <c r="A29" s="5">
        <v>4</v>
      </c>
      <c r="B29" s="1" t="str">
        <f t="shared" si="0"/>
        <v>Weak Swimmer</v>
      </c>
      <c r="C29" s="5">
        <f>VLOOKUP(C5,'Drop Down Info'!$A$38:$B$40,2,FALSE)</f>
        <v>1</v>
      </c>
      <c r="D29" s="5">
        <f>VLOOKUP(D5,'Drop Down Info'!$A$45:$B$47,2,FALSE)</f>
        <v>1.5</v>
      </c>
      <c r="E29" s="5">
        <f>VLOOKUP(E5,'Drop Down Info'!$A$52:$B$54,2,FALSE)</f>
        <v>1.25</v>
      </c>
      <c r="F29" s="5">
        <f>VLOOKUP(F5,'Drop Down Info'!$A$59:$B$61,2,FALSE)</f>
        <v>1.5</v>
      </c>
      <c r="G29" s="5">
        <f>VLOOKUP(G5,'Drop Down Info'!$A$66:$B$68,2,FALSE)</f>
        <v>1</v>
      </c>
    </row>
    <row r="30" spans="1:7">
      <c r="A30" s="5">
        <v>5</v>
      </c>
      <c r="B30" s="1" t="str">
        <f t="shared" si="0"/>
        <v>Injured Swimmer</v>
      </c>
      <c r="C30" s="5">
        <f>VLOOKUP(C6,'Drop Down Info'!$A$38:$B$40,2,FALSE)</f>
        <v>1</v>
      </c>
      <c r="D30" s="5">
        <f>VLOOKUP(D6,'Drop Down Info'!$A$45:$B$47,2,FALSE)</f>
        <v>1.25</v>
      </c>
      <c r="E30" s="5">
        <f>VLOOKUP(E6,'Drop Down Info'!$A$52:$B$54,2,FALSE)</f>
        <v>1</v>
      </c>
      <c r="F30" s="5">
        <f>VLOOKUP(F6,'Drop Down Info'!$A$59:$B$61,2,FALSE)</f>
        <v>1.25</v>
      </c>
      <c r="G30" s="5">
        <f>VLOOKUP(G6,'Drop Down Info'!$A$66:$B$68,2,FALSE)</f>
        <v>1.25</v>
      </c>
    </row>
    <row r="31" spans="1:7">
      <c r="A31" s="5">
        <v>6</v>
      </c>
      <c r="B31" s="1" t="str">
        <f t="shared" si="0"/>
        <v>Injured Swimmer</v>
      </c>
      <c r="C31" s="5">
        <f>VLOOKUP(C7,'Drop Down Info'!$A$38:$B$40,2,FALSE)</f>
        <v>1</v>
      </c>
      <c r="D31" s="5">
        <f>VLOOKUP(D7,'Drop Down Info'!$A$45:$B$47,2,FALSE)</f>
        <v>1.5</v>
      </c>
      <c r="E31" s="5">
        <f>VLOOKUP(E7,'Drop Down Info'!$A$52:$B$54,2,FALSE)</f>
        <v>1.5</v>
      </c>
      <c r="F31" s="5">
        <f>VLOOKUP(F7,'Drop Down Info'!$A$59:$B$61,2,FALSE)</f>
        <v>1.25</v>
      </c>
      <c r="G31" s="5">
        <f>VLOOKUP(G7,'Drop Down Info'!$A$66:$B$68,2,FALSE)</f>
        <v>1.25</v>
      </c>
    </row>
    <row r="32" spans="1:7">
      <c r="A32" s="5">
        <v>7</v>
      </c>
      <c r="B32" s="1" t="str">
        <f t="shared" si="0"/>
        <v>Injured Swimmer</v>
      </c>
      <c r="C32" s="5">
        <f>VLOOKUP(C8,'Drop Down Info'!$A$38:$B$40,2,FALSE)</f>
        <v>1.5</v>
      </c>
      <c r="D32" s="5">
        <f>VLOOKUP(D8,'Drop Down Info'!$A$45:$B$47,2,FALSE)</f>
        <v>1</v>
      </c>
      <c r="E32" s="5">
        <f>VLOOKUP(E8,'Drop Down Info'!$A$52:$B$54,2,FALSE)</f>
        <v>1</v>
      </c>
      <c r="F32" s="5">
        <f>VLOOKUP(F8,'Drop Down Info'!$A$59:$B$61,2,FALSE)</f>
        <v>1.25</v>
      </c>
      <c r="G32" s="5">
        <f>VLOOKUP(G8,'Drop Down Info'!$A$66:$B$68,2,FALSE)</f>
        <v>1.25</v>
      </c>
    </row>
    <row r="33" spans="1:7">
      <c r="A33" s="5">
        <v>8</v>
      </c>
      <c r="B33" s="1" t="str">
        <f t="shared" si="0"/>
        <v>Injured Swimmer</v>
      </c>
      <c r="C33" s="5">
        <f>VLOOKUP(C9,'Drop Down Info'!$A$38:$B$40,2,FALSE)</f>
        <v>1.25</v>
      </c>
      <c r="D33" s="5">
        <f>VLOOKUP(D9,'Drop Down Info'!$A$45:$B$47,2,FALSE)</f>
        <v>1</v>
      </c>
      <c r="E33" s="5">
        <f>VLOOKUP(E9,'Drop Down Info'!$A$52:$B$54,2,FALSE)</f>
        <v>1</v>
      </c>
      <c r="F33" s="5">
        <f>VLOOKUP(F9,'Drop Down Info'!$A$59:$B$61,2,FALSE)</f>
        <v>1.25</v>
      </c>
      <c r="G33" s="5">
        <f>VLOOKUP(G9,'Drop Down Info'!$A$66:$B$68,2,FALSE)</f>
        <v>1.25</v>
      </c>
    </row>
    <row r="34" spans="1:7">
      <c r="A34" s="5">
        <v>9</v>
      </c>
      <c r="B34" s="1" t="str">
        <f t="shared" si="0"/>
        <v>Unconscious Non-Breathing</v>
      </c>
      <c r="C34" s="5">
        <f>VLOOKUP(C10,'Drop Down Info'!$A$38:$B$40,2,FALSE)</f>
        <v>1.5</v>
      </c>
      <c r="D34" s="5">
        <f>VLOOKUP(D10,'Drop Down Info'!$A$45:$B$47,2,FALSE)</f>
        <v>1</v>
      </c>
      <c r="E34" s="5">
        <f>VLOOKUP(E10,'Drop Down Info'!$A$52:$B$54,2,FALSE)</f>
        <v>1</v>
      </c>
      <c r="F34" s="5">
        <f>VLOOKUP(F10,'Drop Down Info'!$A$59:$B$61,2,FALSE)</f>
        <v>1</v>
      </c>
      <c r="G34" s="5">
        <f>VLOOKUP(G10,'Drop Down Info'!$A$66:$B$68,2,FALSE)</f>
        <v>1.5</v>
      </c>
    </row>
    <row r="35" spans="1:7">
      <c r="A35" s="5">
        <v>10</v>
      </c>
      <c r="B35" s="1">
        <f t="shared" si="0"/>
        <v>0</v>
      </c>
      <c r="C35" s="5" t="e">
        <f>VLOOKUP(C11,'Drop Down Info'!$A$38:$B$40,2,FALSE)</f>
        <v>#N/A</v>
      </c>
      <c r="D35" s="5" t="e">
        <f>VLOOKUP(D11,'Drop Down Info'!$A$45:$B$47,2,FALSE)</f>
        <v>#N/A</v>
      </c>
      <c r="E35" s="5" t="e">
        <f>VLOOKUP(E11,'Drop Down Info'!$A$52:$B$54,2,FALSE)</f>
        <v>#N/A</v>
      </c>
      <c r="F35" s="5" t="e">
        <f>VLOOKUP(F11,'Drop Down Info'!$A$59:$B$61,2,FALSE)</f>
        <v>#N/A</v>
      </c>
      <c r="G35" s="5" t="e">
        <f>VLOOKUP(G11,'Drop Down Info'!$A$66:$B$68,2,FALSE)</f>
        <v>#N/A</v>
      </c>
    </row>
    <row r="36" spans="1:7">
      <c r="A36" s="5">
        <v>11</v>
      </c>
      <c r="B36" s="1">
        <f t="shared" si="0"/>
        <v>0</v>
      </c>
      <c r="C36" s="5" t="e">
        <f>VLOOKUP(C12,'Drop Down Info'!$A$38:$B$40,2,FALSE)</f>
        <v>#N/A</v>
      </c>
      <c r="D36" s="5" t="e">
        <f>VLOOKUP(D12,'Drop Down Info'!$A$45:$B$47,2,FALSE)</f>
        <v>#N/A</v>
      </c>
      <c r="E36" s="5" t="e">
        <f>VLOOKUP(E12,'Drop Down Info'!$A$52:$B$54,2,FALSE)</f>
        <v>#N/A</v>
      </c>
      <c r="F36" s="5" t="e">
        <f>VLOOKUP(F12,'Drop Down Info'!$A$59:$B$61,2,FALSE)</f>
        <v>#N/A</v>
      </c>
      <c r="G36" s="5" t="e">
        <f>VLOOKUP(G12,'Drop Down Info'!$A$66:$B$68,2,FALSE)</f>
        <v>#N/A</v>
      </c>
    </row>
    <row r="37" spans="1:7">
      <c r="A37" s="5">
        <v>12</v>
      </c>
      <c r="B37" s="1">
        <f t="shared" si="0"/>
        <v>0</v>
      </c>
      <c r="C37" s="5" t="e">
        <f>VLOOKUP(C13,'Drop Down Info'!$A$38:$B$40,2,FALSE)</f>
        <v>#N/A</v>
      </c>
      <c r="D37" s="5" t="e">
        <f>VLOOKUP(D13,'Drop Down Info'!$A$45:$B$47,2,FALSE)</f>
        <v>#N/A</v>
      </c>
      <c r="E37" s="5" t="e">
        <f>VLOOKUP(E13,'Drop Down Info'!$A$52:$B$54,2,FALSE)</f>
        <v>#N/A</v>
      </c>
      <c r="F37" s="5" t="e">
        <f>VLOOKUP(F13,'Drop Down Info'!$A$59:$B$61,2,FALSE)</f>
        <v>#N/A</v>
      </c>
      <c r="G37" s="5" t="e">
        <f>VLOOKUP(G13,'Drop Down Info'!$A$66:$B$68,2,FALSE)</f>
        <v>#N/A</v>
      </c>
    </row>
    <row r="38" spans="1:7">
      <c r="A38" s="5">
        <v>13</v>
      </c>
      <c r="B38" s="1">
        <f t="shared" si="0"/>
        <v>0</v>
      </c>
      <c r="C38" s="5" t="e">
        <f>VLOOKUP(C14,'Drop Down Info'!$A$38:$B$40,2,FALSE)</f>
        <v>#N/A</v>
      </c>
      <c r="D38" s="5" t="e">
        <f>VLOOKUP(D14,'Drop Down Info'!$A$45:$B$47,2,FALSE)</f>
        <v>#N/A</v>
      </c>
      <c r="E38" s="5" t="e">
        <f>VLOOKUP(E14,'Drop Down Info'!$A$52:$B$54,2,FALSE)</f>
        <v>#N/A</v>
      </c>
      <c r="F38" s="5" t="e">
        <f>VLOOKUP(F14,'Drop Down Info'!$A$59:$B$61,2,FALSE)</f>
        <v>#N/A</v>
      </c>
      <c r="G38" s="5" t="e">
        <f>VLOOKUP(G14,'Drop Down Info'!$A$66:$B$68,2,FALSE)</f>
        <v>#N/A</v>
      </c>
    </row>
    <row r="39" spans="1:7">
      <c r="A39" s="5">
        <v>14</v>
      </c>
      <c r="B39" s="1">
        <f t="shared" si="0"/>
        <v>0</v>
      </c>
      <c r="C39" s="5" t="e">
        <f>VLOOKUP(C15,'Drop Down Info'!$A$38:$B$40,2,FALSE)</f>
        <v>#N/A</v>
      </c>
      <c r="D39" s="5" t="e">
        <f>VLOOKUP(D15,'Drop Down Info'!$A$45:$B$47,2,FALSE)</f>
        <v>#N/A</v>
      </c>
      <c r="E39" s="5" t="e">
        <f>VLOOKUP(E15,'Drop Down Info'!$A$52:$B$54,2,FALSE)</f>
        <v>#N/A</v>
      </c>
      <c r="F39" s="5" t="e">
        <f>VLOOKUP(F15,'Drop Down Info'!$A$59:$B$61,2,FALSE)</f>
        <v>#N/A</v>
      </c>
      <c r="G39" s="5" t="e">
        <f>VLOOKUP(G15,'Drop Down Info'!$A$66:$B$68,2,FALSE)</f>
        <v>#N/A</v>
      </c>
    </row>
    <row r="40" spans="1:7">
      <c r="A40" s="5">
        <v>15</v>
      </c>
      <c r="B40" s="1">
        <f t="shared" si="0"/>
        <v>0</v>
      </c>
      <c r="C40" s="5" t="e">
        <f>VLOOKUP(C16,'Drop Down Info'!$A$38:$B$40,2,FALSE)</f>
        <v>#N/A</v>
      </c>
      <c r="D40" s="5" t="e">
        <f>VLOOKUP(D16,'Drop Down Info'!$A$45:$B$47,2,FALSE)</f>
        <v>#N/A</v>
      </c>
      <c r="E40" s="5" t="e">
        <f>VLOOKUP(E16,'Drop Down Info'!$A$52:$B$54,2,FALSE)</f>
        <v>#N/A</v>
      </c>
      <c r="F40" s="5" t="e">
        <f>VLOOKUP(F16,'Drop Down Info'!$A$59:$B$61,2,FALSE)</f>
        <v>#N/A</v>
      </c>
      <c r="G40" s="5" t="e">
        <f>VLOOKUP(G16,'Drop Down Info'!$A$66:$B$68,2,FALSE)</f>
        <v>#N/A</v>
      </c>
    </row>
    <row r="41" spans="1:7" ht="30" customHeight="1">
      <c r="A41" s="8"/>
      <c r="B41" s="3"/>
      <c r="C41" s="4" t="s">
        <v>62</v>
      </c>
      <c r="D41" s="4" t="s">
        <v>63</v>
      </c>
      <c r="E41" s="4" t="s">
        <v>64</v>
      </c>
      <c r="F41" s="4" t="s">
        <v>65</v>
      </c>
      <c r="G41" s="4" t="s">
        <v>66</v>
      </c>
    </row>
    <row r="42" spans="1:7">
      <c r="A42" s="1" t="s">
        <v>61</v>
      </c>
      <c r="B42" s="25" t="s">
        <v>60</v>
      </c>
      <c r="C42" s="5">
        <f>VLOOKUP(C19,'Drop Down Info'!A3:B5,2,FALSE)</f>
        <v>1</v>
      </c>
      <c r="D42" s="5">
        <f>VLOOKUP(D19,'Drop Down Info'!A10:B12,2,FALSE)</f>
        <v>1</v>
      </c>
      <c r="E42" s="5">
        <f>VLOOKUP('Factor Sheet'!E19,'Drop Down Info'!A17:B19,2,FALSE)</f>
        <v>1.25</v>
      </c>
      <c r="F42" s="5">
        <f>VLOOKUP(F19,'Drop Down Info'!A24:B26,2,FALSE)</f>
        <v>1.5</v>
      </c>
      <c r="G42" s="5">
        <f>VLOOKUP(G19,'Drop Down Info'!A31:B33,2,FALSE)</f>
        <v>1</v>
      </c>
    </row>
    <row r="43" spans="1:7" ht="33" customHeight="1">
      <c r="A43" s="3"/>
      <c r="B43" s="74" t="s">
        <v>150</v>
      </c>
      <c r="C43" s="4" t="s">
        <v>76</v>
      </c>
      <c r="D43" s="4" t="s">
        <v>107</v>
      </c>
      <c r="E43" s="4" t="s">
        <v>108</v>
      </c>
      <c r="F43" s="4" t="s">
        <v>109</v>
      </c>
      <c r="G43" s="4" t="s">
        <v>110</v>
      </c>
    </row>
    <row r="44" spans="1:7">
      <c r="A44" s="1" t="s">
        <v>57</v>
      </c>
      <c r="B44" s="73" t="s">
        <v>57</v>
      </c>
      <c r="C44" s="24" t="str">
        <f>IF($B$44="Bystander","1","")</f>
        <v>1</v>
      </c>
      <c r="D44" s="24" t="str">
        <f>IF($B$44="Bystander","1","")</f>
        <v>1</v>
      </c>
      <c r="E44" s="24" t="str">
        <f>IF($B$44="Bystander","1","")</f>
        <v>1</v>
      </c>
      <c r="F44" s="24" t="str">
        <f>IF($B$44="Bystander","1","")</f>
        <v>1</v>
      </c>
      <c r="G44" s="24" t="str">
        <f>IF($B$44="Bystander","1","")</f>
        <v>1</v>
      </c>
    </row>
  </sheetData>
  <sheetProtection password="CADD"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Overall">
                <anchor moveWithCells="1" sizeWithCells="1">
                  <from>
                    <xdr:col>1</xdr:col>
                    <xdr:colOff>120650</xdr:colOff>
                    <xdr:row>47</xdr:row>
                    <xdr:rowOff>38100</xdr:rowOff>
                  </from>
                  <to>
                    <xdr:col>1</xdr:col>
                    <xdr:colOff>1974850</xdr:colOff>
                    <xdr:row>51</xdr:row>
                    <xdr:rowOff>6350</xdr:rowOff>
                  </to>
                </anchor>
              </controlPr>
            </control>
          </mc:Choice>
        </mc:AlternateContent>
        <mc:AlternateContent xmlns:mc="http://schemas.openxmlformats.org/markup-compatibility/2006">
          <mc:Choice Requires="x14">
            <control shapeId="3104" r:id="rId5" name="Button 32">
              <controlPr defaultSize="0" print="0" autoFill="0" autoPict="0" macro="[0]!CreateVicSheeets">
                <anchor moveWithCells="1" sizeWithCells="1">
                  <from>
                    <xdr:col>2</xdr:col>
                    <xdr:colOff>146050</xdr:colOff>
                    <xdr:row>47</xdr:row>
                    <xdr:rowOff>69850</xdr:rowOff>
                  </from>
                  <to>
                    <xdr:col>2</xdr:col>
                    <xdr:colOff>1981200</xdr:colOff>
                    <xdr:row>50</xdr:row>
                    <xdr:rowOff>184150</xdr:rowOff>
                  </to>
                </anchor>
              </controlPr>
            </control>
          </mc:Choice>
        </mc:AlternateContent>
        <mc:AlternateContent xmlns:mc="http://schemas.openxmlformats.org/markup-compatibility/2006">
          <mc:Choice Requires="x14">
            <control shapeId="3106" r:id="rId6" name="Button 34">
              <controlPr defaultSize="0" print="0" autoFill="0" autoPict="0" macro="[0]!Bystander">
                <anchor moveWithCells="1" sizeWithCells="1">
                  <from>
                    <xdr:col>3</xdr:col>
                    <xdr:colOff>101600</xdr:colOff>
                    <xdr:row>47</xdr:row>
                    <xdr:rowOff>69850</xdr:rowOff>
                  </from>
                  <to>
                    <xdr:col>3</xdr:col>
                    <xdr:colOff>1936750</xdr:colOff>
                    <xdr:row>50</xdr:row>
                    <xdr:rowOff>184150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000-000000000000}">
          <x14:formula1>
            <xm:f>'Drop Down Info'!$A$38:$A$40</xm:f>
          </x14:formula1>
          <xm:sqref>C2:C16</xm:sqref>
        </x14:dataValidation>
        <x14:dataValidation type="list" allowBlank="1" showInputMessage="1" showErrorMessage="1" xr:uid="{00000000-0002-0000-0000-000001000000}">
          <x14:formula1>
            <xm:f>'Drop Down Info'!$A$45:$A$47</xm:f>
          </x14:formula1>
          <xm:sqref>D2:D16</xm:sqref>
        </x14:dataValidation>
        <x14:dataValidation type="list" allowBlank="1" showInputMessage="1" showErrorMessage="1" xr:uid="{00000000-0002-0000-0000-000002000000}">
          <x14:formula1>
            <xm:f>'Drop Down Info'!$A$52:$A$54</xm:f>
          </x14:formula1>
          <xm:sqref>E2:E16</xm:sqref>
        </x14:dataValidation>
        <x14:dataValidation type="list" allowBlank="1" showInputMessage="1" showErrorMessage="1" xr:uid="{00000000-0002-0000-0000-000003000000}">
          <x14:formula1>
            <xm:f>'Drop Down Info'!$A$3:$A$5</xm:f>
          </x14:formula1>
          <xm:sqref>C19:C20</xm:sqref>
        </x14:dataValidation>
        <x14:dataValidation type="list" allowBlank="1" showInputMessage="1" showErrorMessage="1" xr:uid="{00000000-0002-0000-0000-000004000000}">
          <x14:formula1>
            <xm:f>'Drop Down Info'!$A$10:$A$12</xm:f>
          </x14:formula1>
          <xm:sqref>D19:D20</xm:sqref>
        </x14:dataValidation>
        <x14:dataValidation type="list" allowBlank="1" showInputMessage="1" showErrorMessage="1" xr:uid="{00000000-0002-0000-0000-000005000000}">
          <x14:formula1>
            <xm:f>'Drop Down Info'!$A$17:$A$19</xm:f>
          </x14:formula1>
          <xm:sqref>E19:E20</xm:sqref>
        </x14:dataValidation>
        <x14:dataValidation type="list" allowBlank="1" showInputMessage="1" showErrorMessage="1" xr:uid="{00000000-0002-0000-0000-000006000000}">
          <x14:formula1>
            <xm:f>'Drop Down Info'!$A$24:$A$26</xm:f>
          </x14:formula1>
          <xm:sqref>F19:F20</xm:sqref>
        </x14:dataValidation>
        <x14:dataValidation type="list" allowBlank="1" showInputMessage="1" showErrorMessage="1" xr:uid="{00000000-0002-0000-0000-000007000000}">
          <x14:formula1>
            <xm:f>'Drop Down Info'!$A$31:$A$33</xm:f>
          </x14:formula1>
          <xm:sqref>G19:G20</xm:sqref>
        </x14:dataValidation>
        <x14:dataValidation type="list" allowBlank="1" showInputMessage="1" showErrorMessage="1" xr:uid="{00000000-0002-0000-0000-000008000000}">
          <x14:formula1>
            <xm:f>'Drop Down Info'!$A$73:$A$77</xm:f>
          </x14:formula1>
          <xm:sqref>B2:B16</xm:sqref>
        </x14:dataValidation>
        <x14:dataValidation type="list" allowBlank="1" showInputMessage="1" showErrorMessage="1" xr:uid="{00000000-0002-0000-0000-000009000000}">
          <x14:formula1>
            <xm:f>'Drop Down Info'!$D$106:$D$107</xm:f>
          </x14:formula1>
          <xm:sqref>B44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126"/>
  <sheetViews>
    <sheetView topLeftCell="A40" zoomScale="70" zoomScaleNormal="70" workbookViewId="0">
      <selection activeCell="A47" sqref="A47"/>
    </sheetView>
  </sheetViews>
  <sheetFormatPr baseColWidth="10" defaultColWidth="8.90625" defaultRowHeight="14.5"/>
  <cols>
    <col min="1" max="1" width="90.54296875" customWidth="1"/>
    <col min="2" max="12" width="40.6328125" customWidth="1"/>
  </cols>
  <sheetData>
    <row r="1" spans="1:2" ht="26.5" thickBot="1">
      <c r="A1" s="110" t="s">
        <v>112</v>
      </c>
      <c r="B1" s="110"/>
    </row>
    <row r="2" spans="1:2">
      <c r="A2" s="17" t="s">
        <v>8</v>
      </c>
      <c r="B2" s="18" t="s">
        <v>9</v>
      </c>
    </row>
    <row r="3" spans="1:2" ht="50.15" customHeight="1">
      <c r="A3" s="12" t="s">
        <v>0</v>
      </c>
      <c r="B3" s="16">
        <v>1.5</v>
      </c>
    </row>
    <row r="4" spans="1:2" ht="50.15" customHeight="1">
      <c r="A4" s="12" t="s">
        <v>1</v>
      </c>
      <c r="B4" s="16">
        <v>1.25</v>
      </c>
    </row>
    <row r="5" spans="1:2" ht="50.15" customHeight="1">
      <c r="A5" s="12" t="s">
        <v>2</v>
      </c>
      <c r="B5" s="16">
        <v>1</v>
      </c>
    </row>
    <row r="6" spans="1:2" ht="50.15" customHeight="1" thickBot="1">
      <c r="A6" s="13" t="s">
        <v>3</v>
      </c>
      <c r="B6" s="14"/>
    </row>
    <row r="8" spans="1:2" ht="15" thickBot="1"/>
    <row r="9" spans="1:2">
      <c r="A9" s="17" t="s">
        <v>10</v>
      </c>
      <c r="B9" s="18" t="s">
        <v>9</v>
      </c>
    </row>
    <row r="10" spans="1:2" ht="50.15" customHeight="1">
      <c r="A10" s="12" t="s">
        <v>4</v>
      </c>
      <c r="B10" s="16">
        <v>1.5</v>
      </c>
    </row>
    <row r="11" spans="1:2" ht="50.15" customHeight="1">
      <c r="A11" s="12" t="s">
        <v>5</v>
      </c>
      <c r="B11" s="16">
        <v>1.25</v>
      </c>
    </row>
    <row r="12" spans="1:2" ht="50.15" customHeight="1">
      <c r="A12" s="12" t="s">
        <v>6</v>
      </c>
      <c r="B12" s="16">
        <v>1</v>
      </c>
    </row>
    <row r="13" spans="1:2" ht="50.15" customHeight="1" thickBot="1">
      <c r="A13" s="13" t="s">
        <v>7</v>
      </c>
      <c r="B13" s="14"/>
    </row>
    <row r="15" spans="1:2" ht="15" thickBot="1"/>
    <row r="16" spans="1:2">
      <c r="A16" s="17" t="s">
        <v>15</v>
      </c>
      <c r="B16" s="18" t="s">
        <v>9</v>
      </c>
    </row>
    <row r="17" spans="1:2" ht="50.15" customHeight="1">
      <c r="A17" s="12" t="s">
        <v>11</v>
      </c>
      <c r="B17" s="16">
        <v>1.5</v>
      </c>
    </row>
    <row r="18" spans="1:2" ht="50.15" customHeight="1">
      <c r="A18" s="12" t="s">
        <v>12</v>
      </c>
      <c r="B18" s="16">
        <v>1.25</v>
      </c>
    </row>
    <row r="19" spans="1:2" ht="50.15" customHeight="1">
      <c r="A19" s="12" t="s">
        <v>13</v>
      </c>
      <c r="B19" s="16">
        <v>1</v>
      </c>
    </row>
    <row r="20" spans="1:2" ht="50.15" customHeight="1" thickBot="1">
      <c r="A20" s="13" t="s">
        <v>14</v>
      </c>
      <c r="B20" s="14"/>
    </row>
    <row r="21" spans="1:2">
      <c r="A21" s="15"/>
    </row>
    <row r="22" spans="1:2" ht="15" thickBot="1"/>
    <row r="23" spans="1:2">
      <c r="A23" s="17" t="s">
        <v>20</v>
      </c>
      <c r="B23" s="18" t="s">
        <v>9</v>
      </c>
    </row>
    <row r="24" spans="1:2" ht="50.15" customHeight="1">
      <c r="A24" s="12" t="s">
        <v>16</v>
      </c>
      <c r="B24" s="16">
        <v>1.5</v>
      </c>
    </row>
    <row r="25" spans="1:2" ht="50.15" customHeight="1">
      <c r="A25" s="12" t="s">
        <v>17</v>
      </c>
      <c r="B25" s="16">
        <v>1.25</v>
      </c>
    </row>
    <row r="26" spans="1:2" ht="50.15" customHeight="1">
      <c r="A26" s="12" t="s">
        <v>18</v>
      </c>
      <c r="B26" s="16">
        <v>1</v>
      </c>
    </row>
    <row r="27" spans="1:2" ht="50.15" customHeight="1" thickBot="1">
      <c r="A27" s="13" t="s">
        <v>19</v>
      </c>
      <c r="B27" s="14"/>
    </row>
    <row r="28" spans="1:2">
      <c r="A28" s="15"/>
    </row>
    <row r="29" spans="1:2" ht="15" thickBot="1"/>
    <row r="30" spans="1:2">
      <c r="A30" s="17" t="s">
        <v>25</v>
      </c>
      <c r="B30" s="18" t="s">
        <v>9</v>
      </c>
    </row>
    <row r="31" spans="1:2" ht="50.15" customHeight="1">
      <c r="A31" s="12" t="s">
        <v>21</v>
      </c>
      <c r="B31" s="16">
        <v>1.5</v>
      </c>
    </row>
    <row r="32" spans="1:2" ht="50.15" customHeight="1">
      <c r="A32" s="12" t="s">
        <v>22</v>
      </c>
      <c r="B32" s="16">
        <v>1.25</v>
      </c>
    </row>
    <row r="33" spans="1:3" ht="50.15" customHeight="1">
      <c r="A33" s="12" t="s">
        <v>23</v>
      </c>
      <c r="B33" s="16">
        <v>1</v>
      </c>
    </row>
    <row r="34" spans="1:3" ht="50.15" customHeight="1" thickBot="1">
      <c r="A34" s="13" t="s">
        <v>24</v>
      </c>
      <c r="B34" s="14"/>
    </row>
    <row r="35" spans="1:3">
      <c r="A35" s="15"/>
    </row>
    <row r="36" spans="1:3" ht="26.5" thickBot="1">
      <c r="A36" s="110" t="s">
        <v>113</v>
      </c>
      <c r="B36" s="110"/>
      <c r="C36" s="19"/>
    </row>
    <row r="37" spans="1:3">
      <c r="A37" s="17" t="s">
        <v>30</v>
      </c>
      <c r="B37" s="18" t="s">
        <v>9</v>
      </c>
    </row>
    <row r="38" spans="1:3" ht="50.15" customHeight="1">
      <c r="A38" s="12" t="s">
        <v>26</v>
      </c>
      <c r="B38" s="16">
        <v>1.5</v>
      </c>
    </row>
    <row r="39" spans="1:3" ht="50.15" customHeight="1">
      <c r="A39" s="12" t="s">
        <v>27</v>
      </c>
      <c r="B39" s="16">
        <v>1.25</v>
      </c>
    </row>
    <row r="40" spans="1:3" ht="50.15" customHeight="1">
      <c r="A40" s="12" t="s">
        <v>28</v>
      </c>
      <c r="B40" s="16">
        <v>1</v>
      </c>
    </row>
    <row r="41" spans="1:3" ht="50.15" customHeight="1" thickBot="1">
      <c r="A41" s="13" t="s">
        <v>29</v>
      </c>
      <c r="B41" s="14"/>
    </row>
    <row r="42" spans="1:3">
      <c r="A42" s="15"/>
    </row>
    <row r="43" spans="1:3" ht="15" thickBot="1"/>
    <row r="44" spans="1:3">
      <c r="A44" s="17" t="s">
        <v>34</v>
      </c>
      <c r="B44" s="18" t="s">
        <v>9</v>
      </c>
    </row>
    <row r="45" spans="1:3" ht="50.15" customHeight="1">
      <c r="A45" s="12" t="s">
        <v>31</v>
      </c>
      <c r="B45" s="16">
        <v>1.5</v>
      </c>
    </row>
    <row r="46" spans="1:3" ht="50.15" customHeight="1">
      <c r="A46" s="12" t="s">
        <v>32</v>
      </c>
      <c r="B46" s="16">
        <v>1.25</v>
      </c>
    </row>
    <row r="47" spans="1:3" ht="50.15" customHeight="1">
      <c r="A47" s="12" t="s">
        <v>58</v>
      </c>
      <c r="B47" s="16">
        <v>1</v>
      </c>
    </row>
    <row r="48" spans="1:3" ht="65.150000000000006" customHeight="1" thickBot="1">
      <c r="A48" s="13" t="s">
        <v>33</v>
      </c>
      <c r="B48" s="14"/>
    </row>
    <row r="49" spans="1:2">
      <c r="A49" s="15"/>
    </row>
    <row r="50" spans="1:2" ht="15" thickBot="1"/>
    <row r="51" spans="1:2">
      <c r="A51" s="17" t="s">
        <v>39</v>
      </c>
      <c r="B51" s="18" t="s">
        <v>9</v>
      </c>
    </row>
    <row r="52" spans="1:2" ht="50.15" customHeight="1">
      <c r="A52" s="12" t="s">
        <v>35</v>
      </c>
      <c r="B52" s="16">
        <v>1.5</v>
      </c>
    </row>
    <row r="53" spans="1:2" ht="50.15" customHeight="1">
      <c r="A53" s="12" t="s">
        <v>36</v>
      </c>
      <c r="B53" s="16">
        <v>1.25</v>
      </c>
    </row>
    <row r="54" spans="1:2" ht="50.15" customHeight="1">
      <c r="A54" s="12" t="s">
        <v>37</v>
      </c>
      <c r="B54" s="16">
        <v>1</v>
      </c>
    </row>
    <row r="55" spans="1:2" ht="65.150000000000006" customHeight="1" thickBot="1">
      <c r="A55" s="13" t="s">
        <v>38</v>
      </c>
      <c r="B55" s="14"/>
    </row>
    <row r="56" spans="1:2">
      <c r="A56" s="15"/>
    </row>
    <row r="57" spans="1:2" ht="15" thickBot="1"/>
    <row r="58" spans="1:2">
      <c r="A58" s="17" t="s">
        <v>43</v>
      </c>
      <c r="B58" s="18" t="s">
        <v>9</v>
      </c>
    </row>
    <row r="59" spans="1:2" ht="50.15" customHeight="1">
      <c r="A59" s="12" t="s">
        <v>40</v>
      </c>
      <c r="B59" s="16">
        <v>1.5</v>
      </c>
    </row>
    <row r="60" spans="1:2" ht="50.15" customHeight="1">
      <c r="A60" s="12" t="s">
        <v>41</v>
      </c>
      <c r="B60" s="16">
        <v>1.25</v>
      </c>
    </row>
    <row r="61" spans="1:2" ht="50.15" customHeight="1">
      <c r="A61" s="12" t="s">
        <v>115</v>
      </c>
      <c r="B61" s="16">
        <v>1</v>
      </c>
    </row>
    <row r="62" spans="1:2" ht="65.150000000000006" customHeight="1" thickBot="1">
      <c r="A62" s="13" t="s">
        <v>42</v>
      </c>
      <c r="B62" s="14"/>
    </row>
    <row r="63" spans="1:2">
      <c r="A63" s="15"/>
    </row>
    <row r="64" spans="1:2" ht="15" thickBot="1"/>
    <row r="65" spans="1:8">
      <c r="A65" s="17" t="s">
        <v>47</v>
      </c>
      <c r="B65" s="18" t="s">
        <v>9</v>
      </c>
    </row>
    <row r="66" spans="1:8" ht="50.15" customHeight="1">
      <c r="A66" s="12" t="s">
        <v>114</v>
      </c>
      <c r="B66" s="16">
        <v>1.5</v>
      </c>
    </row>
    <row r="67" spans="1:8" ht="50.15" customHeight="1">
      <c r="A67" s="12" t="s">
        <v>44</v>
      </c>
      <c r="B67" s="16">
        <v>1.25</v>
      </c>
    </row>
    <row r="68" spans="1:8" ht="50.15" customHeight="1">
      <c r="A68" s="12" t="s">
        <v>45</v>
      </c>
      <c r="B68" s="16">
        <v>1</v>
      </c>
    </row>
    <row r="69" spans="1:8" ht="50.15" customHeight="1" thickBot="1">
      <c r="A69" s="13" t="s">
        <v>46</v>
      </c>
      <c r="B69" s="14"/>
    </row>
    <row r="70" spans="1:8">
      <c r="A70" s="15"/>
    </row>
    <row r="71" spans="1:8">
      <c r="A71" s="6"/>
      <c r="B71" s="6"/>
      <c r="C71" s="6"/>
      <c r="D71" s="6"/>
      <c r="E71" s="6"/>
      <c r="F71" s="6"/>
      <c r="G71" s="6"/>
      <c r="H71" s="6"/>
    </row>
    <row r="72" spans="1:8" s="22" customFormat="1" ht="21">
      <c r="A72" s="21" t="s">
        <v>53</v>
      </c>
      <c r="B72" s="21" t="s">
        <v>72</v>
      </c>
      <c r="C72" s="21" t="s">
        <v>73</v>
      </c>
      <c r="D72" s="21" t="s">
        <v>76</v>
      </c>
      <c r="E72" s="21" t="s">
        <v>48</v>
      </c>
      <c r="F72" s="21" t="s">
        <v>77</v>
      </c>
      <c r="G72" s="21" t="s">
        <v>50</v>
      </c>
      <c r="H72" s="21" t="s">
        <v>78</v>
      </c>
    </row>
    <row r="73" spans="1:8" ht="180" customHeight="1">
      <c r="A73" s="20" t="s">
        <v>54</v>
      </c>
      <c r="B73" s="9" t="s">
        <v>68</v>
      </c>
      <c r="C73" s="9" t="s">
        <v>75</v>
      </c>
      <c r="D73" s="9" t="s">
        <v>106</v>
      </c>
      <c r="E73" s="9" t="s">
        <v>79</v>
      </c>
      <c r="F73" s="9" t="s">
        <v>80</v>
      </c>
      <c r="G73" s="9" t="s">
        <v>81</v>
      </c>
      <c r="H73" s="9" t="s">
        <v>82</v>
      </c>
    </row>
    <row r="74" spans="1:8" ht="180" customHeight="1">
      <c r="A74" s="20" t="s">
        <v>55</v>
      </c>
      <c r="B74" s="9" t="s">
        <v>67</v>
      </c>
      <c r="C74" s="9" t="s">
        <v>74</v>
      </c>
      <c r="D74" s="9" t="s">
        <v>83</v>
      </c>
      <c r="E74" s="9" t="s">
        <v>84</v>
      </c>
      <c r="F74" s="9" t="s">
        <v>85</v>
      </c>
      <c r="G74" s="9" t="s">
        <v>86</v>
      </c>
      <c r="H74" s="9" t="s">
        <v>87</v>
      </c>
    </row>
    <row r="75" spans="1:8" ht="180" customHeight="1">
      <c r="A75" s="20" t="s">
        <v>56</v>
      </c>
      <c r="B75" s="9" t="s">
        <v>70</v>
      </c>
      <c r="C75" s="9" t="s">
        <v>94</v>
      </c>
      <c r="D75" s="9" t="s">
        <v>95</v>
      </c>
      <c r="E75" s="9" t="s">
        <v>96</v>
      </c>
      <c r="F75" s="9" t="s">
        <v>97</v>
      </c>
      <c r="G75" s="9" t="s">
        <v>98</v>
      </c>
      <c r="H75" s="9" t="s">
        <v>99</v>
      </c>
    </row>
    <row r="76" spans="1:8" ht="180" customHeight="1">
      <c r="A76" s="20" t="s">
        <v>151</v>
      </c>
      <c r="B76" s="9" t="s">
        <v>111</v>
      </c>
      <c r="C76" s="9" t="s">
        <v>120</v>
      </c>
      <c r="D76" s="9" t="s">
        <v>89</v>
      </c>
      <c r="E76" s="9" t="s">
        <v>90</v>
      </c>
      <c r="F76" s="9" t="s">
        <v>91</v>
      </c>
      <c r="G76" s="9" t="s">
        <v>92</v>
      </c>
      <c r="H76" s="9" t="s">
        <v>99</v>
      </c>
    </row>
    <row r="77" spans="1:8" ht="180" customHeight="1">
      <c r="A77" s="20" t="s">
        <v>152</v>
      </c>
      <c r="B77" s="9" t="s">
        <v>69</v>
      </c>
      <c r="C77" s="9" t="s">
        <v>88</v>
      </c>
      <c r="D77" s="9" t="s">
        <v>89</v>
      </c>
      <c r="E77" s="9" t="s">
        <v>90</v>
      </c>
      <c r="F77" s="9" t="s">
        <v>91</v>
      </c>
      <c r="G77" s="9" t="s">
        <v>92</v>
      </c>
      <c r="H77" s="9" t="s">
        <v>93</v>
      </c>
    </row>
    <row r="78" spans="1:8" s="22" customFormat="1" ht="21">
      <c r="A78" s="21" t="s">
        <v>53</v>
      </c>
      <c r="B78" s="21" t="s">
        <v>72</v>
      </c>
      <c r="C78" s="21" t="s">
        <v>73</v>
      </c>
      <c r="D78" s="21" t="s">
        <v>76</v>
      </c>
      <c r="E78" s="21" t="s">
        <v>116</v>
      </c>
      <c r="F78" s="21" t="s">
        <v>117</v>
      </c>
      <c r="G78" s="21" t="s">
        <v>118</v>
      </c>
      <c r="H78" s="21" t="s">
        <v>119</v>
      </c>
    </row>
    <row r="79" spans="1:8" ht="180" customHeight="1">
      <c r="A79" s="20" t="s">
        <v>57</v>
      </c>
      <c r="B79" s="9" t="s">
        <v>71</v>
      </c>
      <c r="C79" s="9" t="s">
        <v>100</v>
      </c>
      <c r="D79" s="9" t="s">
        <v>101</v>
      </c>
      <c r="E79" s="9" t="s">
        <v>102</v>
      </c>
      <c r="F79" s="9" t="s">
        <v>103</v>
      </c>
      <c r="G79" s="9" t="s">
        <v>104</v>
      </c>
      <c r="H79" s="9" t="s">
        <v>105</v>
      </c>
    </row>
    <row r="81" spans="1:2">
      <c r="A81" t="s">
        <v>57</v>
      </c>
    </row>
    <row r="82" spans="1:2">
      <c r="A82" s="4" t="s">
        <v>76</v>
      </c>
      <c r="B82" s="1" t="s">
        <v>9</v>
      </c>
    </row>
    <row r="83" spans="1:2">
      <c r="A83" s="11"/>
      <c r="B83" s="1">
        <v>1.5</v>
      </c>
    </row>
    <row r="84" spans="1:2">
      <c r="A84" s="11"/>
      <c r="B84" s="1">
        <v>1.25</v>
      </c>
    </row>
    <row r="85" spans="1:2">
      <c r="B85" s="1">
        <v>1</v>
      </c>
    </row>
    <row r="86" spans="1:2">
      <c r="A86" s="4" t="s">
        <v>107</v>
      </c>
      <c r="B86" s="1" t="s">
        <v>9</v>
      </c>
    </row>
    <row r="87" spans="1:2">
      <c r="A87" s="11"/>
      <c r="B87" s="1">
        <v>1.5</v>
      </c>
    </row>
    <row r="88" spans="1:2">
      <c r="A88" s="11"/>
      <c r="B88" s="1">
        <v>1.25</v>
      </c>
    </row>
    <row r="89" spans="1:2">
      <c r="B89" s="1">
        <v>1</v>
      </c>
    </row>
    <row r="90" spans="1:2">
      <c r="A90" s="4" t="s">
        <v>108</v>
      </c>
      <c r="B90" s="1" t="s">
        <v>9</v>
      </c>
    </row>
    <row r="91" spans="1:2">
      <c r="A91" s="11"/>
      <c r="B91" s="1">
        <v>1.5</v>
      </c>
    </row>
    <row r="92" spans="1:2">
      <c r="A92" s="11"/>
      <c r="B92" s="1">
        <v>1.25</v>
      </c>
    </row>
    <row r="93" spans="1:2">
      <c r="A93" s="11"/>
      <c r="B93" s="1">
        <v>1</v>
      </c>
    </row>
    <row r="94" spans="1:2">
      <c r="A94" s="4" t="s">
        <v>109</v>
      </c>
      <c r="B94" s="1" t="s">
        <v>9</v>
      </c>
    </row>
    <row r="95" spans="1:2">
      <c r="A95" s="11"/>
      <c r="B95" s="1">
        <v>1.5</v>
      </c>
    </row>
    <row r="96" spans="1:2">
      <c r="A96" s="11"/>
      <c r="B96" s="1">
        <v>1.25</v>
      </c>
    </row>
    <row r="97" spans="1:4">
      <c r="A97" s="11"/>
      <c r="B97" s="1">
        <v>1</v>
      </c>
    </row>
    <row r="98" spans="1:4">
      <c r="A98" s="4" t="s">
        <v>110</v>
      </c>
      <c r="B98" s="1" t="s">
        <v>9</v>
      </c>
    </row>
    <row r="99" spans="1:4">
      <c r="B99" s="1">
        <v>1.5</v>
      </c>
    </row>
    <row r="100" spans="1:4">
      <c r="B100" s="1">
        <v>1.25</v>
      </c>
    </row>
    <row r="101" spans="1:4">
      <c r="B101" s="1">
        <v>1</v>
      </c>
    </row>
    <row r="106" spans="1:4">
      <c r="B106">
        <v>0</v>
      </c>
      <c r="C106">
        <v>0</v>
      </c>
      <c r="D106" t="s">
        <v>149</v>
      </c>
    </row>
    <row r="107" spans="1:4">
      <c r="B107">
        <v>0.5</v>
      </c>
      <c r="C107">
        <v>-10</v>
      </c>
      <c r="D107" t="s">
        <v>57</v>
      </c>
    </row>
    <row r="108" spans="1:4">
      <c r="B108">
        <v>1</v>
      </c>
    </row>
    <row r="109" spans="1:4">
      <c r="B109">
        <v>1.5</v>
      </c>
    </row>
    <row r="110" spans="1:4">
      <c r="B110">
        <v>2</v>
      </c>
    </row>
    <row r="111" spans="1:4">
      <c r="B111">
        <v>2.5</v>
      </c>
    </row>
    <row r="112" spans="1:4">
      <c r="B112">
        <v>3</v>
      </c>
    </row>
    <row r="113" spans="2:2">
      <c r="B113">
        <v>3.5</v>
      </c>
    </row>
    <row r="114" spans="2:2">
      <c r="B114">
        <v>4</v>
      </c>
    </row>
    <row r="115" spans="2:2">
      <c r="B115">
        <v>4.5</v>
      </c>
    </row>
    <row r="116" spans="2:2">
      <c r="B116">
        <v>5</v>
      </c>
    </row>
    <row r="117" spans="2:2">
      <c r="B117">
        <v>5.5</v>
      </c>
    </row>
    <row r="118" spans="2:2">
      <c r="B118">
        <v>6</v>
      </c>
    </row>
    <row r="119" spans="2:2">
      <c r="B119">
        <v>6.5</v>
      </c>
    </row>
    <row r="120" spans="2:2">
      <c r="B120">
        <v>7</v>
      </c>
    </row>
    <row r="121" spans="2:2">
      <c r="B121">
        <v>7.5</v>
      </c>
    </row>
    <row r="122" spans="2:2">
      <c r="B122">
        <v>8</v>
      </c>
    </row>
    <row r="123" spans="2:2">
      <c r="B123">
        <v>8.5</v>
      </c>
    </row>
    <row r="124" spans="2:2">
      <c r="B124">
        <v>9</v>
      </c>
    </row>
    <row r="125" spans="2:2">
      <c r="B125">
        <v>9.5</v>
      </c>
    </row>
    <row r="126" spans="2:2">
      <c r="B126">
        <v>10</v>
      </c>
    </row>
  </sheetData>
  <mergeCells count="2">
    <mergeCell ref="A36:B36"/>
    <mergeCell ref="A1:B1"/>
  </mergeCells>
  <pageMargins left="0.25" right="0.25" top="0.75" bottom="0.75" header="0.3" footer="0.3"/>
  <pageSetup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80"/>
  <sheetViews>
    <sheetView topLeftCell="I1" zoomScale="90" zoomScaleNormal="90" workbookViewId="0">
      <selection activeCell="P1" sqref="P1"/>
    </sheetView>
  </sheetViews>
  <sheetFormatPr baseColWidth="10" defaultColWidth="8.90625" defaultRowHeight="14.5"/>
  <cols>
    <col min="1" max="1" width="24.453125" style="30" bestFit="1" customWidth="1"/>
    <col min="2" max="2" width="32" customWidth="1"/>
    <col min="3" max="3" width="30.453125" customWidth="1"/>
    <col min="4" max="7" width="24.54296875" bestFit="1" customWidth="1"/>
    <col min="8" max="8" width="31.36328125" bestFit="1" customWidth="1"/>
    <col min="9" max="9" width="8.36328125" bestFit="1" customWidth="1"/>
    <col min="10" max="10" width="11.54296875" customWidth="1"/>
    <col min="11" max="11" width="16" customWidth="1"/>
    <col min="12" max="12" width="15.08984375" customWidth="1"/>
    <col min="15" max="15" width="36.6328125" customWidth="1"/>
  </cols>
  <sheetData>
    <row r="1" spans="1:15" ht="18.5">
      <c r="A1" s="31" t="s">
        <v>155</v>
      </c>
      <c r="B1" s="62" t="s">
        <v>330</v>
      </c>
    </row>
    <row r="4" spans="1:15" ht="15" thickBot="1"/>
    <row r="5" spans="1:15" ht="19" thickTop="1">
      <c r="A5" s="29" t="s">
        <v>156</v>
      </c>
      <c r="B5" s="28" t="s">
        <v>154</v>
      </c>
      <c r="C5" s="28" t="s">
        <v>157</v>
      </c>
      <c r="D5" s="28" t="s">
        <v>158</v>
      </c>
      <c r="E5" s="28" t="s">
        <v>159</v>
      </c>
      <c r="F5" s="28" t="s">
        <v>160</v>
      </c>
      <c r="G5" s="28" t="s">
        <v>161</v>
      </c>
      <c r="H5" s="28" t="s">
        <v>128</v>
      </c>
      <c r="I5" s="28" t="s">
        <v>129</v>
      </c>
      <c r="K5" s="111" t="s">
        <v>123</v>
      </c>
      <c r="L5" s="111"/>
      <c r="N5" s="112" t="s">
        <v>153</v>
      </c>
      <c r="O5" s="113"/>
    </row>
    <row r="6" spans="1:15">
      <c r="A6" s="5">
        <v>1</v>
      </c>
      <c r="B6" s="78" t="s">
        <v>162</v>
      </c>
      <c r="C6" s="78" t="s">
        <v>162</v>
      </c>
      <c r="D6" s="79" t="s">
        <v>163</v>
      </c>
      <c r="E6" s="80" t="s">
        <v>164</v>
      </c>
      <c r="F6" s="80" t="s">
        <v>165</v>
      </c>
      <c r="G6" s="80" t="s">
        <v>166</v>
      </c>
      <c r="H6" s="1">
        <f ca="1">RAND()</f>
        <v>9.2964532519606013E-2</v>
      </c>
      <c r="I6" s="1">
        <f t="shared" ref="I6:I34" ca="1" si="0">IF(B6="","",RANK(H6,$H$6:$H$35))</f>
        <v>28</v>
      </c>
      <c r="K6" s="65">
        <v>1</v>
      </c>
      <c r="L6" s="65" t="str">
        <f ca="1">INDEX($B$6:$B$35,MATCH(K6,$I$6:$I$35,0))</f>
        <v>Lifesaving Club of Markham</v>
      </c>
      <c r="N6" s="77">
        <v>1</v>
      </c>
      <c r="O6" s="77" t="s">
        <v>251</v>
      </c>
    </row>
    <row r="7" spans="1:15">
      <c r="A7" s="5">
        <v>2</v>
      </c>
      <c r="B7" s="78" t="s">
        <v>167</v>
      </c>
      <c r="C7" s="78" t="s">
        <v>167</v>
      </c>
      <c r="D7" s="80" t="s">
        <v>168</v>
      </c>
      <c r="E7" s="80" t="s">
        <v>169</v>
      </c>
      <c r="F7" s="80" t="s">
        <v>170</v>
      </c>
      <c r="G7" s="80" t="s">
        <v>171</v>
      </c>
      <c r="H7" s="1">
        <f t="shared" ref="H7:H35" ca="1" si="1">RAND()</f>
        <v>0.87683079642313355</v>
      </c>
      <c r="I7" s="1">
        <f t="shared" ca="1" si="0"/>
        <v>5</v>
      </c>
      <c r="K7" s="65">
        <f t="shared" ref="K7:K35" ca="1" si="2">INDEX(A7:A36, RAND())</f>
        <v>2</v>
      </c>
      <c r="L7" s="65" t="str">
        <f t="shared" ref="L7:L35" ca="1" si="3">INDEX($B$6:$B$35,MATCH(K7,$I$6:$I$35,0))</f>
        <v>Vaughan Lifesaving Club</v>
      </c>
      <c r="N7" s="77">
        <v>2</v>
      </c>
      <c r="O7" s="77" t="s">
        <v>183</v>
      </c>
    </row>
    <row r="8" spans="1:15">
      <c r="A8" s="5">
        <v>3</v>
      </c>
      <c r="B8" s="78" t="s">
        <v>172</v>
      </c>
      <c r="C8" s="78" t="s">
        <v>172</v>
      </c>
      <c r="D8" s="80" t="s">
        <v>173</v>
      </c>
      <c r="E8" s="80" t="s">
        <v>174</v>
      </c>
      <c r="F8" s="80" t="s">
        <v>175</v>
      </c>
      <c r="G8" s="80" t="s">
        <v>176</v>
      </c>
      <c r="H8" s="1">
        <f t="shared" ca="1" si="1"/>
        <v>0.74371640480367496</v>
      </c>
      <c r="I8" s="1">
        <f t="shared" ca="1" si="0"/>
        <v>11</v>
      </c>
      <c r="K8" s="65">
        <f t="shared" ca="1" si="2"/>
        <v>3</v>
      </c>
      <c r="L8" s="65" t="str">
        <f t="shared" ca="1" si="3"/>
        <v>USA</v>
      </c>
      <c r="N8" s="77">
        <v>3</v>
      </c>
      <c r="O8" s="77" t="s">
        <v>162</v>
      </c>
    </row>
    <row r="9" spans="1:15">
      <c r="A9" s="5">
        <v>4</v>
      </c>
      <c r="B9" s="78" t="s">
        <v>177</v>
      </c>
      <c r="C9" s="78" t="s">
        <v>178</v>
      </c>
      <c r="D9" s="80" t="s">
        <v>179</v>
      </c>
      <c r="E9" s="80" t="s">
        <v>180</v>
      </c>
      <c r="F9" s="80" t="s">
        <v>181</v>
      </c>
      <c r="G9" s="80" t="s">
        <v>182</v>
      </c>
      <c r="H9" s="1">
        <f t="shared" ca="1" si="1"/>
        <v>0.82386786833742731</v>
      </c>
      <c r="I9" s="1">
        <f t="shared" ca="1" si="0"/>
        <v>7</v>
      </c>
      <c r="K9" s="65">
        <f t="shared" ca="1" si="2"/>
        <v>4</v>
      </c>
      <c r="L9" s="65" t="str">
        <f t="shared" ca="1" si="3"/>
        <v>Surf Central Agrey</v>
      </c>
      <c r="N9" s="77">
        <v>4</v>
      </c>
      <c r="O9" s="77" t="s">
        <v>261</v>
      </c>
    </row>
    <row r="10" spans="1:15">
      <c r="A10" s="5">
        <v>5</v>
      </c>
      <c r="B10" s="78" t="s">
        <v>183</v>
      </c>
      <c r="C10" s="78" t="s">
        <v>178</v>
      </c>
      <c r="D10" s="80" t="s">
        <v>184</v>
      </c>
      <c r="E10" s="80" t="s">
        <v>185</v>
      </c>
      <c r="F10" s="80" t="s">
        <v>186</v>
      </c>
      <c r="G10" s="80" t="s">
        <v>187</v>
      </c>
      <c r="H10" s="1">
        <f t="shared" ca="1" si="1"/>
        <v>0.74666205137410224</v>
      </c>
      <c r="I10" s="1">
        <f t="shared" ca="1" si="0"/>
        <v>10</v>
      </c>
      <c r="K10" s="65">
        <f t="shared" ca="1" si="2"/>
        <v>5</v>
      </c>
      <c r="L10" s="65" t="str">
        <f t="shared" ca="1" si="3"/>
        <v>CAF</v>
      </c>
      <c r="N10" s="77">
        <v>5</v>
      </c>
      <c r="O10" s="77" t="s">
        <v>335</v>
      </c>
    </row>
    <row r="11" spans="1:15">
      <c r="A11" s="5">
        <v>6</v>
      </c>
      <c r="B11" s="78" t="s">
        <v>188</v>
      </c>
      <c r="C11" s="78" t="s">
        <v>178</v>
      </c>
      <c r="D11" s="80" t="s">
        <v>189</v>
      </c>
      <c r="E11" s="80" t="s">
        <v>190</v>
      </c>
      <c r="F11" s="80" t="s">
        <v>191</v>
      </c>
      <c r="G11" s="80" t="s">
        <v>192</v>
      </c>
      <c r="H11" s="1">
        <f t="shared" ca="1" si="1"/>
        <v>0.8665491997039112</v>
      </c>
      <c r="I11" s="1">
        <f t="shared" ca="1" si="0"/>
        <v>6</v>
      </c>
      <c r="K11" s="65">
        <f t="shared" ca="1" si="2"/>
        <v>6</v>
      </c>
      <c r="L11" s="65" t="str">
        <f t="shared" ca="1" si="3"/>
        <v>CSRN Martin</v>
      </c>
      <c r="N11" s="77">
        <v>6</v>
      </c>
      <c r="O11" s="77" t="s">
        <v>167</v>
      </c>
    </row>
    <row r="12" spans="1:15">
      <c r="A12" s="5">
        <v>7</v>
      </c>
      <c r="B12" s="78" t="s">
        <v>193</v>
      </c>
      <c r="C12" s="78" t="s">
        <v>193</v>
      </c>
      <c r="D12" s="80" t="s">
        <v>194</v>
      </c>
      <c r="E12" s="80" t="s">
        <v>195</v>
      </c>
      <c r="F12" s="80" t="s">
        <v>196</v>
      </c>
      <c r="G12" s="80" t="s">
        <v>197</v>
      </c>
      <c r="H12" s="1">
        <f t="shared" ca="1" si="1"/>
        <v>0.20210224571610147</v>
      </c>
      <c r="I12" s="1">
        <f t="shared" ca="1" si="0"/>
        <v>27</v>
      </c>
      <c r="K12" s="65">
        <f t="shared" ca="1" si="2"/>
        <v>7</v>
      </c>
      <c r="L12" s="65" t="str">
        <f t="shared" ca="1" si="3"/>
        <v>CSRN Crevier</v>
      </c>
      <c r="N12" s="77">
        <v>7</v>
      </c>
      <c r="O12" s="77" t="s">
        <v>209</v>
      </c>
    </row>
    <row r="13" spans="1:15">
      <c r="A13" s="5">
        <v>8</v>
      </c>
      <c r="B13" s="78" t="s">
        <v>198</v>
      </c>
      <c r="C13" s="78" t="s">
        <v>199</v>
      </c>
      <c r="D13" s="80" t="s">
        <v>200</v>
      </c>
      <c r="E13" s="80" t="s">
        <v>201</v>
      </c>
      <c r="F13" s="80" t="s">
        <v>202</v>
      </c>
      <c r="G13" s="80" t="s">
        <v>203</v>
      </c>
      <c r="H13" s="1">
        <f t="shared" ca="1" si="1"/>
        <v>0.68706459491856275</v>
      </c>
      <c r="I13" s="1">
        <f t="shared" ca="1" si="0"/>
        <v>12</v>
      </c>
      <c r="K13" s="65">
        <f t="shared" ca="1" si="2"/>
        <v>8</v>
      </c>
      <c r="L13" s="65" t="e">
        <f t="shared" ca="1" si="3"/>
        <v>#N/A</v>
      </c>
      <c r="N13" s="77">
        <v>8</v>
      </c>
      <c r="O13" s="77" t="s">
        <v>204</v>
      </c>
    </row>
    <row r="14" spans="1:15">
      <c r="A14" s="5">
        <v>9</v>
      </c>
      <c r="B14" s="78" t="s">
        <v>204</v>
      </c>
      <c r="C14" s="78" t="s">
        <v>199</v>
      </c>
      <c r="D14" s="80" t="s">
        <v>205</v>
      </c>
      <c r="E14" s="80" t="s">
        <v>206</v>
      </c>
      <c r="F14" s="80" t="s">
        <v>207</v>
      </c>
      <c r="G14" s="80" t="s">
        <v>208</v>
      </c>
      <c r="H14" s="1">
        <f t="shared" ca="1" si="1"/>
        <v>0.6078931153719429</v>
      </c>
      <c r="I14" s="1">
        <f t="shared" ca="1" si="0"/>
        <v>15</v>
      </c>
      <c r="K14" s="65">
        <f t="shared" ca="1" si="2"/>
        <v>9</v>
      </c>
      <c r="L14" s="65" t="e">
        <f t="shared" ca="1" si="3"/>
        <v>#N/A</v>
      </c>
      <c r="N14" s="77">
        <v>9</v>
      </c>
      <c r="O14" s="77" t="s">
        <v>240</v>
      </c>
    </row>
    <row r="15" spans="1:15">
      <c r="A15" s="5">
        <v>10</v>
      </c>
      <c r="B15" s="78" t="s">
        <v>209</v>
      </c>
      <c r="C15" s="78" t="s">
        <v>209</v>
      </c>
      <c r="D15" s="80" t="s">
        <v>210</v>
      </c>
      <c r="E15" s="80" t="s">
        <v>211</v>
      </c>
      <c r="F15" s="80" t="s">
        <v>212</v>
      </c>
      <c r="G15" s="80" t="s">
        <v>213</v>
      </c>
      <c r="H15" s="1">
        <f t="shared" ca="1" si="1"/>
        <v>0.20727598239498812</v>
      </c>
      <c r="I15" s="1">
        <f t="shared" ca="1" si="0"/>
        <v>26</v>
      </c>
      <c r="K15" s="65">
        <f t="shared" ca="1" si="2"/>
        <v>10</v>
      </c>
      <c r="L15" s="65" t="str">
        <f t="shared" ca="1" si="3"/>
        <v>CSRN Martel</v>
      </c>
      <c r="N15" s="77">
        <v>10</v>
      </c>
      <c r="O15" s="77" t="s">
        <v>235</v>
      </c>
    </row>
    <row r="16" spans="1:15">
      <c r="A16" s="5">
        <v>11</v>
      </c>
      <c r="B16" s="78" t="s">
        <v>214</v>
      </c>
      <c r="C16" s="78" t="s">
        <v>214</v>
      </c>
      <c r="D16" s="80" t="s">
        <v>215</v>
      </c>
      <c r="E16" s="80" t="s">
        <v>216</v>
      </c>
      <c r="F16" s="80" t="s">
        <v>217</v>
      </c>
      <c r="G16" s="80" t="s">
        <v>218</v>
      </c>
      <c r="H16" s="1">
        <f t="shared" ca="1" si="1"/>
        <v>0.99927207547059849</v>
      </c>
      <c r="I16" s="1">
        <f t="shared" ca="1" si="0"/>
        <v>1</v>
      </c>
      <c r="K16" s="65">
        <f t="shared" ca="1" si="2"/>
        <v>11</v>
      </c>
      <c r="L16" s="65" t="str">
        <f t="shared" ca="1" si="3"/>
        <v>Calcary Winter Club Tsunamis</v>
      </c>
      <c r="N16" s="77">
        <v>11</v>
      </c>
      <c r="O16" s="77" t="s">
        <v>271</v>
      </c>
    </row>
    <row r="17" spans="1:15">
      <c r="A17" s="5">
        <v>12</v>
      </c>
      <c r="B17" s="78" t="s">
        <v>219</v>
      </c>
      <c r="C17" s="78" t="s">
        <v>219</v>
      </c>
      <c r="D17" s="80" t="s">
        <v>220</v>
      </c>
      <c r="E17" s="80" t="s">
        <v>221</v>
      </c>
      <c r="F17" s="80" t="s">
        <v>222</v>
      </c>
      <c r="G17" s="80" t="s">
        <v>223</v>
      </c>
      <c r="H17" s="1">
        <f t="shared" ca="1" si="1"/>
        <v>0.66865151593582539</v>
      </c>
      <c r="I17" s="1">
        <f t="shared" ca="1" si="0"/>
        <v>14</v>
      </c>
      <c r="K17" s="65">
        <f t="shared" ca="1" si="2"/>
        <v>12</v>
      </c>
      <c r="L17" s="65" t="str">
        <f t="shared" ca="1" si="3"/>
        <v>Essex Kolasa</v>
      </c>
      <c r="N17" s="77">
        <v>12</v>
      </c>
      <c r="O17" s="77" t="s">
        <v>286</v>
      </c>
    </row>
    <row r="18" spans="1:15">
      <c r="A18" s="5">
        <v>13</v>
      </c>
      <c r="B18" s="78" t="s">
        <v>224</v>
      </c>
      <c r="C18" s="109" t="s">
        <v>225</v>
      </c>
      <c r="D18" s="80" t="s">
        <v>226</v>
      </c>
      <c r="E18" s="80" t="s">
        <v>227</v>
      </c>
      <c r="F18" s="80" t="s">
        <v>228</v>
      </c>
      <c r="G18" s="80" t="s">
        <v>229</v>
      </c>
      <c r="H18" s="1">
        <f t="shared" ca="1" si="1"/>
        <v>0.67443453613440685</v>
      </c>
      <c r="I18" s="1">
        <f t="shared" ca="1" si="0"/>
        <v>13</v>
      </c>
      <c r="K18" s="65">
        <f t="shared" ca="1" si="2"/>
        <v>13</v>
      </c>
      <c r="L18" s="65" t="str">
        <f t="shared" ca="1" si="3"/>
        <v>Nova Scotia Bresnahan</v>
      </c>
      <c r="N18" s="77">
        <v>13</v>
      </c>
      <c r="O18" s="77" t="s">
        <v>245</v>
      </c>
    </row>
    <row r="19" spans="1:15">
      <c r="A19" s="5">
        <v>14</v>
      </c>
      <c r="B19" s="78" t="s">
        <v>230</v>
      </c>
      <c r="C19" s="109" t="s">
        <v>225</v>
      </c>
      <c r="D19" s="80" t="s">
        <v>231</v>
      </c>
      <c r="E19" s="80" t="s">
        <v>232</v>
      </c>
      <c r="F19" s="80" t="s">
        <v>233</v>
      </c>
      <c r="G19" s="80" t="s">
        <v>234</v>
      </c>
      <c r="H19" s="1">
        <f t="shared" ca="1" si="1"/>
        <v>0.28085281993836875</v>
      </c>
      <c r="I19" s="1">
        <f t="shared" ca="1" si="0"/>
        <v>22</v>
      </c>
      <c r="K19" s="65">
        <f t="shared" ca="1" si="2"/>
        <v>14</v>
      </c>
      <c r="L19" s="65" t="str">
        <f t="shared" ca="1" si="3"/>
        <v>Narval sauvetage sportif</v>
      </c>
      <c r="N19" s="77">
        <v>14</v>
      </c>
      <c r="O19" s="77" t="s">
        <v>177</v>
      </c>
    </row>
    <row r="20" spans="1:15">
      <c r="A20" s="5">
        <v>15</v>
      </c>
      <c r="B20" s="78" t="s">
        <v>235</v>
      </c>
      <c r="C20" s="78" t="s">
        <v>235</v>
      </c>
      <c r="D20" s="80" t="s">
        <v>236</v>
      </c>
      <c r="E20" s="80" t="s">
        <v>237</v>
      </c>
      <c r="F20" s="80" t="s">
        <v>238</v>
      </c>
      <c r="G20" s="80" t="s">
        <v>239</v>
      </c>
      <c r="H20" s="1">
        <f t="shared" ca="1" si="1"/>
        <v>0.43598309081730358</v>
      </c>
      <c r="I20" s="1">
        <f t="shared" ca="1" si="0"/>
        <v>20</v>
      </c>
      <c r="K20" s="65">
        <f t="shared" ca="1" si="2"/>
        <v>15</v>
      </c>
      <c r="L20" s="65" t="str">
        <f t="shared" ca="1" si="3"/>
        <v>Essex Weston</v>
      </c>
      <c r="N20" s="77">
        <v>15</v>
      </c>
      <c r="O20" s="77" t="s">
        <v>256</v>
      </c>
    </row>
    <row r="21" spans="1:15">
      <c r="A21" s="5">
        <v>16</v>
      </c>
      <c r="B21" s="109" t="s">
        <v>240</v>
      </c>
      <c r="C21" s="109" t="s">
        <v>240</v>
      </c>
      <c r="D21" s="80" t="s">
        <v>241</v>
      </c>
      <c r="E21" s="80" t="s">
        <v>242</v>
      </c>
      <c r="F21" s="80" t="s">
        <v>243</v>
      </c>
      <c r="G21" s="80" t="s">
        <v>244</v>
      </c>
      <c r="H21" s="1">
        <f t="shared" ca="1" si="1"/>
        <v>0.5961580075655688</v>
      </c>
      <c r="I21" s="1">
        <f t="shared" ca="1" si="0"/>
        <v>17</v>
      </c>
      <c r="K21" s="65">
        <f t="shared" ca="1" si="2"/>
        <v>16</v>
      </c>
      <c r="L21" s="65" t="str">
        <f t="shared" ca="1" si="3"/>
        <v>CAEM</v>
      </c>
      <c r="N21" s="77">
        <v>16</v>
      </c>
      <c r="O21" s="77" t="s">
        <v>214</v>
      </c>
    </row>
    <row r="22" spans="1:15">
      <c r="A22" s="5">
        <v>17</v>
      </c>
      <c r="B22" s="78" t="s">
        <v>245</v>
      </c>
      <c r="C22" s="78" t="s">
        <v>246</v>
      </c>
      <c r="D22" s="80" t="s">
        <v>247</v>
      </c>
      <c r="E22" s="80" t="s">
        <v>248</v>
      </c>
      <c r="F22" s="80" t="s">
        <v>249</v>
      </c>
      <c r="G22" s="80" t="s">
        <v>250</v>
      </c>
      <c r="H22" s="1">
        <f t="shared" ca="1" si="1"/>
        <v>0.88660526220393276</v>
      </c>
      <c r="I22" s="1">
        <f t="shared" ca="1" si="0"/>
        <v>4</v>
      </c>
      <c r="K22" s="65">
        <f t="shared" ca="1" si="2"/>
        <v>17</v>
      </c>
      <c r="L22" s="65" t="str">
        <f t="shared" ca="1" si="3"/>
        <v>Saugeen Shores Lifesaving Club</v>
      </c>
      <c r="N22" s="77">
        <v>17</v>
      </c>
      <c r="O22" s="77" t="s">
        <v>266</v>
      </c>
    </row>
    <row r="23" spans="1:15">
      <c r="A23" s="5">
        <v>18</v>
      </c>
      <c r="B23" s="78" t="s">
        <v>251</v>
      </c>
      <c r="C23" s="78" t="s">
        <v>246</v>
      </c>
      <c r="D23" s="80" t="s">
        <v>252</v>
      </c>
      <c r="E23" s="80" t="s">
        <v>253</v>
      </c>
      <c r="F23" s="80" t="s">
        <v>254</v>
      </c>
      <c r="G23" s="80" t="s">
        <v>255</v>
      </c>
      <c r="H23" s="1">
        <f t="shared" ca="1" si="1"/>
        <v>0.23208935045735557</v>
      </c>
      <c r="I23" s="1">
        <f t="shared" ca="1" si="0"/>
        <v>24</v>
      </c>
      <c r="K23" s="65">
        <f t="shared" ca="1" si="2"/>
        <v>18</v>
      </c>
      <c r="L23" s="65" t="e">
        <f t="shared" ca="1" si="3"/>
        <v>#N/A</v>
      </c>
      <c r="N23" s="77">
        <v>18</v>
      </c>
      <c r="O23" s="77" t="s">
        <v>198</v>
      </c>
    </row>
    <row r="24" spans="1:15">
      <c r="A24" s="5">
        <v>19</v>
      </c>
      <c r="B24" s="78" t="s">
        <v>256</v>
      </c>
      <c r="C24" s="78" t="s">
        <v>246</v>
      </c>
      <c r="D24" s="80" t="s">
        <v>257</v>
      </c>
      <c r="E24" s="80" t="s">
        <v>258</v>
      </c>
      <c r="F24" s="80" t="s">
        <v>259</v>
      </c>
      <c r="G24" s="80" t="s">
        <v>260</v>
      </c>
      <c r="H24" s="1">
        <f t="shared" ca="1" si="1"/>
        <v>1.7514280064974797E-2</v>
      </c>
      <c r="I24" s="1">
        <f t="shared" ca="1" si="0"/>
        <v>29</v>
      </c>
      <c r="K24" s="65">
        <f t="shared" ca="1" si="2"/>
        <v>19</v>
      </c>
      <c r="L24" s="65" t="e">
        <f t="shared" ca="1" si="3"/>
        <v>#N/A</v>
      </c>
      <c r="N24" s="77">
        <v>19</v>
      </c>
      <c r="O24" s="77" t="s">
        <v>193</v>
      </c>
    </row>
    <row r="25" spans="1:15">
      <c r="A25" s="5">
        <v>20</v>
      </c>
      <c r="B25" s="78" t="s">
        <v>261</v>
      </c>
      <c r="C25" s="78" t="s">
        <v>246</v>
      </c>
      <c r="D25" s="80" t="s">
        <v>262</v>
      </c>
      <c r="E25" s="80" t="s">
        <v>263</v>
      </c>
      <c r="F25" s="80" t="s">
        <v>264</v>
      </c>
      <c r="G25" s="80" t="s">
        <v>265</v>
      </c>
      <c r="H25" s="1">
        <f t="shared" ca="1" si="1"/>
        <v>0.20991473969316643</v>
      </c>
      <c r="I25" s="1">
        <f t="shared" ca="1" si="0"/>
        <v>25</v>
      </c>
      <c r="K25" s="65">
        <f t="shared" ca="1" si="2"/>
        <v>20</v>
      </c>
      <c r="L25" s="65" t="str">
        <f t="shared" ca="1" si="3"/>
        <v>RHLC</v>
      </c>
      <c r="N25" s="77">
        <v>20</v>
      </c>
      <c r="O25" s="77" t="s">
        <v>281</v>
      </c>
    </row>
    <row r="26" spans="1:15">
      <c r="A26" s="5">
        <v>21</v>
      </c>
      <c r="B26" s="78" t="s">
        <v>266</v>
      </c>
      <c r="C26" s="78" t="s">
        <v>246</v>
      </c>
      <c r="D26" s="80" t="s">
        <v>267</v>
      </c>
      <c r="E26" s="80" t="s">
        <v>268</v>
      </c>
      <c r="F26" s="80" t="s">
        <v>269</v>
      </c>
      <c r="G26" s="80" t="s">
        <v>270</v>
      </c>
      <c r="H26" s="1">
        <f t="shared" ca="1" si="1"/>
        <v>0.34592407402011949</v>
      </c>
      <c r="I26" s="1">
        <f t="shared" ca="1" si="0"/>
        <v>21</v>
      </c>
      <c r="K26" s="65">
        <f t="shared" ca="1" si="2"/>
        <v>21</v>
      </c>
      <c r="L26" s="65" t="str">
        <f t="shared" ca="1" si="3"/>
        <v>Surf Central Isaac Thibodeau</v>
      </c>
      <c r="N26" s="77">
        <v>21</v>
      </c>
      <c r="O26" s="77" t="s">
        <v>224</v>
      </c>
    </row>
    <row r="27" spans="1:15">
      <c r="A27" s="5">
        <v>22</v>
      </c>
      <c r="B27" s="78" t="s">
        <v>271</v>
      </c>
      <c r="C27" s="78" t="s">
        <v>246</v>
      </c>
      <c r="D27" s="80" t="s">
        <v>272</v>
      </c>
      <c r="E27" s="80" t="s">
        <v>273</v>
      </c>
      <c r="F27" s="80" t="s">
        <v>274</v>
      </c>
      <c r="G27" s="80" t="s">
        <v>275</v>
      </c>
      <c r="H27" s="1">
        <f t="shared" ca="1" si="1"/>
        <v>0.27736068116343737</v>
      </c>
      <c r="I27" s="1">
        <f t="shared" ca="1" si="0"/>
        <v>23</v>
      </c>
      <c r="K27" s="65">
        <f t="shared" ca="1" si="2"/>
        <v>22</v>
      </c>
      <c r="L27" s="65" t="str">
        <f t="shared" ca="1" si="3"/>
        <v>Nova Scotia Irving</v>
      </c>
      <c r="N27" s="77">
        <v>22</v>
      </c>
      <c r="O27" s="77" t="s">
        <v>188</v>
      </c>
    </row>
    <row r="28" spans="1:15">
      <c r="A28" s="5">
        <v>23</v>
      </c>
      <c r="B28" s="78" t="s">
        <v>276</v>
      </c>
      <c r="C28" s="78" t="s">
        <v>246</v>
      </c>
      <c r="D28" s="80" t="s">
        <v>277</v>
      </c>
      <c r="E28" s="80" t="s">
        <v>278</v>
      </c>
      <c r="F28" s="80" t="s">
        <v>279</v>
      </c>
      <c r="G28" s="80" t="s">
        <v>280</v>
      </c>
      <c r="H28" s="1">
        <f t="shared" ca="1" si="1"/>
        <v>1.3844294599678841E-2</v>
      </c>
      <c r="I28" s="1">
        <f t="shared" ca="1" si="0"/>
        <v>30</v>
      </c>
      <c r="K28" s="65">
        <f t="shared" ca="1" si="2"/>
        <v>23</v>
      </c>
      <c r="L28" s="65" t="str">
        <f t="shared" ca="1" si="3"/>
        <v>Surf Central Vogel</v>
      </c>
      <c r="N28" s="77">
        <v>23</v>
      </c>
      <c r="O28" s="77" t="s">
        <v>219</v>
      </c>
    </row>
    <row r="29" spans="1:15">
      <c r="A29" s="5">
        <v>24</v>
      </c>
      <c r="B29" s="78" t="s">
        <v>281</v>
      </c>
      <c r="C29" s="80" t="s">
        <v>281</v>
      </c>
      <c r="D29" s="80" t="s">
        <v>282</v>
      </c>
      <c r="E29" s="80" t="s">
        <v>283</v>
      </c>
      <c r="F29" s="80" t="s">
        <v>284</v>
      </c>
      <c r="G29" s="80" t="s">
        <v>285</v>
      </c>
      <c r="H29" s="1">
        <f t="shared" ca="1" si="1"/>
        <v>0.9575645645808547</v>
      </c>
      <c r="I29" s="1">
        <f t="shared" ca="1" si="0"/>
        <v>2</v>
      </c>
      <c r="K29" s="65">
        <f t="shared" ca="1" si="2"/>
        <v>24</v>
      </c>
      <c r="L29" s="65" t="str">
        <f t="shared" ca="1" si="3"/>
        <v>Surf Central Burwell</v>
      </c>
      <c r="N29" s="77">
        <v>24</v>
      </c>
      <c r="O29" s="77" t="s">
        <v>172</v>
      </c>
    </row>
    <row r="30" spans="1:15">
      <c r="A30" s="5">
        <v>25</v>
      </c>
      <c r="B30" s="78" t="s">
        <v>286</v>
      </c>
      <c r="C30" s="80" t="s">
        <v>286</v>
      </c>
      <c r="D30" s="80" t="s">
        <v>287</v>
      </c>
      <c r="E30" s="80" t="s">
        <v>288</v>
      </c>
      <c r="F30" s="80" t="s">
        <v>289</v>
      </c>
      <c r="G30" s="80" t="s">
        <v>290</v>
      </c>
      <c r="H30" s="1">
        <f t="shared" ca="1" si="1"/>
        <v>0.90680973179968616</v>
      </c>
      <c r="I30" s="1">
        <f t="shared" ca="1" si="0"/>
        <v>3</v>
      </c>
      <c r="K30" s="65">
        <f t="shared" ca="1" si="2"/>
        <v>25</v>
      </c>
      <c r="L30" s="65" t="str">
        <f t="shared" ca="1" si="3"/>
        <v>Surf Central Sevcan Isik</v>
      </c>
      <c r="N30" s="77">
        <v>25</v>
      </c>
      <c r="O30" s="77" t="s">
        <v>276</v>
      </c>
    </row>
    <row r="31" spans="1:15">
      <c r="A31" s="5">
        <v>26</v>
      </c>
      <c r="B31" s="76" t="s">
        <v>335</v>
      </c>
      <c r="C31" s="63" t="s">
        <v>335</v>
      </c>
      <c r="D31" s="63" t="s">
        <v>331</v>
      </c>
      <c r="E31" s="63" t="s">
        <v>332</v>
      </c>
      <c r="F31" s="63" t="s">
        <v>333</v>
      </c>
      <c r="G31" s="63" t="s">
        <v>334</v>
      </c>
      <c r="H31" s="1">
        <f t="shared" ca="1" si="1"/>
        <v>0.59884692791441774</v>
      </c>
      <c r="I31" s="1">
        <f t="shared" ca="1" si="0"/>
        <v>16</v>
      </c>
      <c r="K31" s="65">
        <f t="shared" ca="1" si="2"/>
        <v>26</v>
      </c>
      <c r="L31" s="65" t="str">
        <f t="shared" ca="1" si="3"/>
        <v>Georgina Rapids Aquatic Club</v>
      </c>
      <c r="N31" s="77">
        <v>26</v>
      </c>
      <c r="O31" s="77" t="s">
        <v>230</v>
      </c>
    </row>
    <row r="32" spans="1:15">
      <c r="A32" s="5">
        <v>27</v>
      </c>
      <c r="B32" s="76"/>
      <c r="C32" s="63" t="s">
        <v>124</v>
      </c>
      <c r="D32" s="63"/>
      <c r="E32" s="63"/>
      <c r="F32" s="63"/>
      <c r="G32" s="63"/>
      <c r="H32" s="1">
        <f t="shared" ca="1" si="1"/>
        <v>0.76932982186382359</v>
      </c>
      <c r="I32" s="1" t="str">
        <f t="shared" si="0"/>
        <v/>
      </c>
      <c r="K32" s="65">
        <f t="shared" ca="1" si="2"/>
        <v>27</v>
      </c>
      <c r="L32" s="65" t="str">
        <f t="shared" ca="1" si="3"/>
        <v>Damoclès</v>
      </c>
      <c r="N32" s="77">
        <v>27</v>
      </c>
      <c r="O32" s="77"/>
    </row>
    <row r="33" spans="1:15">
      <c r="A33" s="5">
        <v>28</v>
      </c>
      <c r="B33" s="76"/>
      <c r="C33" s="63" t="s">
        <v>125</v>
      </c>
      <c r="D33" s="63"/>
      <c r="E33" s="63"/>
      <c r="F33" s="63"/>
      <c r="G33" s="63"/>
      <c r="H33" s="1">
        <f t="shared" ca="1" si="1"/>
        <v>0.54072275845008078</v>
      </c>
      <c r="I33" s="1" t="str">
        <f t="shared" si="0"/>
        <v/>
      </c>
      <c r="K33" s="65">
        <f t="shared" ca="1" si="2"/>
        <v>28</v>
      </c>
      <c r="L33" s="65" t="str">
        <f t="shared" ca="1" si="3"/>
        <v>Blue Natation</v>
      </c>
      <c r="N33" s="77">
        <v>28</v>
      </c>
      <c r="O33" s="77"/>
    </row>
    <row r="34" spans="1:15">
      <c r="A34" s="5">
        <v>29</v>
      </c>
      <c r="B34" s="76"/>
      <c r="C34" s="63" t="s">
        <v>126</v>
      </c>
      <c r="D34" s="63"/>
      <c r="E34" s="63"/>
      <c r="F34" s="63"/>
      <c r="G34" s="63"/>
      <c r="H34" s="1">
        <f t="shared" ca="1" si="1"/>
        <v>0.56252231929313767</v>
      </c>
      <c r="I34" s="1" t="str">
        <f t="shared" si="0"/>
        <v/>
      </c>
      <c r="K34" s="65">
        <f t="shared" ca="1" si="2"/>
        <v>29</v>
      </c>
      <c r="L34" s="65" t="str">
        <f t="shared" ca="1" si="3"/>
        <v>Surf Central Gilbert</v>
      </c>
      <c r="N34" s="77">
        <v>29</v>
      </c>
      <c r="O34" s="77"/>
    </row>
    <row r="35" spans="1:15">
      <c r="A35" s="5">
        <v>30</v>
      </c>
      <c r="B35" s="63"/>
      <c r="C35" s="63" t="s">
        <v>127</v>
      </c>
      <c r="D35" s="63"/>
      <c r="E35" s="63"/>
      <c r="F35" s="63"/>
      <c r="G35" s="63"/>
      <c r="H35" s="1">
        <f t="shared" ca="1" si="1"/>
        <v>0.7725420594407566</v>
      </c>
      <c r="I35" s="1" t="str">
        <f>IF(B35="","",RANK(H35,$H$6:$H$35))</f>
        <v/>
      </c>
      <c r="K35" s="65">
        <f t="shared" ca="1" si="2"/>
        <v>30</v>
      </c>
      <c r="L35" s="65" t="str">
        <f t="shared" ca="1" si="3"/>
        <v>Surf Central Zahara</v>
      </c>
      <c r="N35" s="77">
        <v>30</v>
      </c>
      <c r="O35" s="77"/>
    </row>
    <row r="80" spans="17:17">
      <c r="Q80" s="64"/>
    </row>
  </sheetData>
  <mergeCells count="2">
    <mergeCell ref="K5:L5"/>
    <mergeCell ref="N5:O5"/>
  </mergeCells>
  <phoneticPr fontId="28" type="noConversion"/>
  <conditionalFormatting sqref="I6:I35">
    <cfRule type="duplicateValues" dxfId="0" priority="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pyDraw">
                <anchor moveWithCells="1" sizeWithCells="1">
                  <from>
                    <xdr:col>10</xdr:col>
                    <xdr:colOff>76200</xdr:colOff>
                    <xdr:row>0</xdr:row>
                    <xdr:rowOff>82550</xdr:rowOff>
                  </from>
                  <to>
                    <xdr:col>11</xdr:col>
                    <xdr:colOff>876300</xdr:colOff>
                    <xdr:row>2</xdr:row>
                    <xdr:rowOff>101600</xdr:rowOff>
                  </to>
                </anchor>
              </controlPr>
            </control>
          </mc:Choice>
        </mc:AlternateContent>
        <mc:AlternateContent xmlns:mc="http://schemas.openxmlformats.org/markup-compatibility/2006">
          <mc:Choice Requires="x14">
            <control shapeId="6146" r:id="rId5" name="Button 2">
              <controlPr defaultSize="0" print="0" autoFill="0" autoPict="0" macro="[0]!cleardraw">
                <anchor moveWithCells="1" sizeWithCells="1">
                  <from>
                    <xdr:col>13</xdr:col>
                    <xdr:colOff>101600</xdr:colOff>
                    <xdr:row>0</xdr:row>
                    <xdr:rowOff>139700</xdr:rowOff>
                  </from>
                  <to>
                    <xdr:col>14</xdr:col>
                    <xdr:colOff>565150</xdr:colOff>
                    <xdr:row>2</xdr:row>
                    <xdr:rowOff>82550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H1348"/>
  <sheetViews>
    <sheetView tabSelected="1" workbookViewId="0">
      <selection activeCell="E8" sqref="E8"/>
    </sheetView>
  </sheetViews>
  <sheetFormatPr baseColWidth="10" defaultColWidth="11.453125" defaultRowHeight="14.5"/>
  <cols>
    <col min="1" max="1" width="31.36328125" style="59" customWidth="1"/>
    <col min="2" max="2" width="30.453125" bestFit="1" customWidth="1"/>
    <col min="3" max="3" width="11.453125" hidden="1" customWidth="1"/>
    <col min="4" max="4" width="11.453125" customWidth="1"/>
    <col min="5" max="31" width="8.54296875" style="32" customWidth="1"/>
    <col min="32" max="32" width="8.54296875" customWidth="1"/>
    <col min="33" max="33" width="8.54296875" style="32" customWidth="1"/>
    <col min="34" max="34" width="8.54296875" customWidth="1"/>
  </cols>
  <sheetData>
    <row r="1" spans="1:34" ht="71.900000000000006" customHeight="1" thickBot="1">
      <c r="A1" s="126"/>
      <c r="B1" s="114" t="str">
        <f>+'Team Entry'!B1</f>
        <v>CPLC 2026</v>
      </c>
      <c r="C1" s="115"/>
      <c r="D1" s="115"/>
      <c r="E1" s="115"/>
      <c r="F1" s="115"/>
      <c r="G1" s="115"/>
      <c r="I1" s="32" t="s">
        <v>148</v>
      </c>
      <c r="AH1" s="33" t="str">
        <f>+'Team Entry'!B1</f>
        <v>CPLC 2026</v>
      </c>
    </row>
    <row r="2" spans="1:34" ht="20.25" customHeight="1" thickBot="1">
      <c r="A2" s="126"/>
      <c r="B2" s="34"/>
      <c r="C2" s="34"/>
      <c r="D2" s="34"/>
      <c r="E2" s="120" t="s">
        <v>130</v>
      </c>
      <c r="F2" s="121"/>
      <c r="G2" s="121"/>
      <c r="H2" s="121"/>
      <c r="I2" s="121"/>
      <c r="J2" s="121"/>
      <c r="K2" s="121"/>
      <c r="L2" s="121"/>
      <c r="M2" s="121"/>
      <c r="N2" s="121"/>
      <c r="O2" s="121"/>
      <c r="P2" s="121"/>
      <c r="Q2" s="121"/>
      <c r="R2" s="121"/>
      <c r="S2" s="121"/>
      <c r="T2" s="121"/>
      <c r="U2" s="121"/>
      <c r="V2" s="121"/>
      <c r="W2" s="121"/>
      <c r="X2" s="121"/>
      <c r="Y2" s="121"/>
      <c r="Z2" s="121"/>
      <c r="AA2" s="121"/>
      <c r="AB2" s="121"/>
      <c r="AC2" s="121"/>
      <c r="AD2" s="121"/>
      <c r="AE2" s="121"/>
      <c r="AF2" s="121"/>
      <c r="AG2" s="121"/>
      <c r="AH2" s="122"/>
    </row>
    <row r="3" spans="1:34" s="39" customFormat="1" ht="16" thickBot="1">
      <c r="A3" s="69"/>
      <c r="B3" s="70"/>
      <c r="C3" s="68"/>
      <c r="D3" s="35" t="s">
        <v>131</v>
      </c>
      <c r="E3" s="36">
        <v>1</v>
      </c>
      <c r="F3" s="37">
        <v>2</v>
      </c>
      <c r="G3" s="37">
        <v>3</v>
      </c>
      <c r="H3" s="37">
        <v>4</v>
      </c>
      <c r="I3" s="37">
        <v>5</v>
      </c>
      <c r="J3" s="37">
        <v>6</v>
      </c>
      <c r="K3" s="37">
        <v>7</v>
      </c>
      <c r="L3" s="37">
        <v>8</v>
      </c>
      <c r="M3" s="37">
        <v>9</v>
      </c>
      <c r="N3" s="37">
        <v>10</v>
      </c>
      <c r="O3" s="37">
        <v>11</v>
      </c>
      <c r="P3" s="37">
        <v>12</v>
      </c>
      <c r="Q3" s="37">
        <v>13</v>
      </c>
      <c r="R3" s="37">
        <v>14</v>
      </c>
      <c r="S3" s="37">
        <v>15</v>
      </c>
      <c r="T3" s="37">
        <v>16</v>
      </c>
      <c r="U3" s="37">
        <v>17</v>
      </c>
      <c r="V3" s="37">
        <v>18</v>
      </c>
      <c r="W3" s="37">
        <v>19</v>
      </c>
      <c r="X3" s="37">
        <v>20</v>
      </c>
      <c r="Y3" s="37">
        <v>21</v>
      </c>
      <c r="Z3" s="37">
        <v>22</v>
      </c>
      <c r="AA3" s="37">
        <v>23</v>
      </c>
      <c r="AB3" s="37">
        <v>24</v>
      </c>
      <c r="AC3" s="37">
        <v>25</v>
      </c>
      <c r="AD3" s="37">
        <v>26</v>
      </c>
      <c r="AE3" s="37">
        <v>27</v>
      </c>
      <c r="AF3" s="37">
        <v>28</v>
      </c>
      <c r="AG3" s="37">
        <v>29</v>
      </c>
      <c r="AH3" s="38">
        <v>30</v>
      </c>
    </row>
    <row r="4" spans="1:34" ht="99.75" customHeight="1">
      <c r="A4" s="71"/>
      <c r="B4" s="72"/>
      <c r="C4" s="41"/>
      <c r="D4" s="40" t="s">
        <v>132</v>
      </c>
      <c r="E4" s="42" t="str">
        <f>+'Team Entry'!O6</f>
        <v>Surf Central Burwell</v>
      </c>
      <c r="F4" s="42" t="str">
        <f>+'Team Entry'!O7</f>
        <v>CSRN Martel</v>
      </c>
      <c r="G4" s="42" t="str">
        <f>+'Team Entry'!O8</f>
        <v>Blue Natation</v>
      </c>
      <c r="H4" s="42" t="str">
        <f>+'Team Entry'!O9</f>
        <v>Surf Central Sevcan Isik</v>
      </c>
      <c r="I4" s="42" t="str">
        <f>+'Team Entry'!O10</f>
        <v>CAEM</v>
      </c>
      <c r="J4" s="42" t="str">
        <f>+'Team Entry'!O11</f>
        <v>CAF</v>
      </c>
      <c r="K4" s="42" t="str">
        <f>+'Team Entry'!O12</f>
        <v>Georgina Rapids Aquatic Club</v>
      </c>
      <c r="L4" s="42" t="str">
        <f>+'Team Entry'!O13</f>
        <v>Essex Weston</v>
      </c>
      <c r="M4" s="42" t="str">
        <f>+'Team Entry'!O14</f>
        <v>Saugeen Shores Lifesaving Club</v>
      </c>
      <c r="N4" s="42" t="str">
        <f>+'Team Entry'!O15</f>
        <v>RHLC</v>
      </c>
      <c r="O4" s="42" t="str">
        <f>+'Team Entry'!O16</f>
        <v>Surf Central Vogel</v>
      </c>
      <c r="P4" s="42" t="str">
        <f>+'Team Entry'!O17</f>
        <v>USA</v>
      </c>
      <c r="Q4" s="42" t="str">
        <f>+'Team Entry'!O18</f>
        <v>Surf Central Agrey</v>
      </c>
      <c r="R4" s="42" t="str">
        <f>+'Team Entry'!O19</f>
        <v>CSRN Crevier</v>
      </c>
      <c r="S4" s="42" t="str">
        <f>+'Team Entry'!O20</f>
        <v>Surf Central Gilbert</v>
      </c>
      <c r="T4" s="42" t="str">
        <f>+'Team Entry'!O21</f>
        <v>Lifesaving Club of Markham</v>
      </c>
      <c r="U4" s="42" t="str">
        <f>+'Team Entry'!O22</f>
        <v>Surf Central Isaac Thibodeau</v>
      </c>
      <c r="V4" s="42" t="str">
        <f>+'Team Entry'!O23</f>
        <v>Essex Kolasa</v>
      </c>
      <c r="W4" s="42" t="str">
        <f>+'Team Entry'!O24</f>
        <v>Damoclès</v>
      </c>
      <c r="X4" s="42" t="str">
        <f>+'Team Entry'!O25</f>
        <v>Vaughan Lifesaving Club</v>
      </c>
      <c r="Y4" s="42" t="str">
        <f>+'Team Entry'!O26</f>
        <v>Nova Scotia Bresnahan</v>
      </c>
      <c r="Z4" s="42" t="str">
        <f>+'Team Entry'!O27</f>
        <v>CSRN Martin</v>
      </c>
      <c r="AA4" s="42" t="str">
        <f>+'Team Entry'!O28</f>
        <v>Narval sauvetage sportif</v>
      </c>
      <c r="AB4" s="42" t="str">
        <f>+'Team Entry'!O29</f>
        <v>Calcary Winter Club Tsunamis</v>
      </c>
      <c r="AC4" s="42" t="str">
        <f>+'Team Entry'!O30</f>
        <v>Surf Central Zahara</v>
      </c>
      <c r="AD4" s="42" t="str">
        <f>+'Team Entry'!O31</f>
        <v>Nova Scotia Irving</v>
      </c>
      <c r="AE4" s="42">
        <f>+'Team Entry'!O32</f>
        <v>0</v>
      </c>
      <c r="AF4" s="42">
        <f>+'Team Entry'!O33</f>
        <v>0</v>
      </c>
      <c r="AG4" s="42">
        <f>+'Team Entry'!O34</f>
        <v>0</v>
      </c>
      <c r="AH4" s="42">
        <f>+'Team Entry'!O35</f>
        <v>0</v>
      </c>
    </row>
    <row r="5" spans="1:34" ht="18.5">
      <c r="A5" s="118" t="s">
        <v>146</v>
      </c>
      <c r="B5" s="118"/>
      <c r="C5" s="118"/>
      <c r="D5" s="118"/>
      <c r="E5" s="32">
        <f>SUM(E14,E21,E28,E35,E42,E49,E56,E63,E70,E77,E84,E91,E98,E105,E112,E119,E126)</f>
        <v>0</v>
      </c>
      <c r="F5" s="32">
        <f t="shared" ref="F5:AH5" si="0">SUM(F14,F21,F28,F35,F42,F49,F56,F63,F70,F77,F84,F91,F98,F105,F112,F119,F126)</f>
        <v>0</v>
      </c>
      <c r="G5" s="32">
        <f t="shared" si="0"/>
        <v>0</v>
      </c>
      <c r="H5" s="32">
        <f t="shared" si="0"/>
        <v>0</v>
      </c>
      <c r="I5" s="32">
        <f t="shared" si="0"/>
        <v>0</v>
      </c>
      <c r="J5" s="32">
        <f t="shared" si="0"/>
        <v>0</v>
      </c>
      <c r="K5" s="32">
        <f t="shared" si="0"/>
        <v>0</v>
      </c>
      <c r="L5" s="32">
        <f t="shared" si="0"/>
        <v>0</v>
      </c>
      <c r="M5" s="32">
        <f t="shared" si="0"/>
        <v>0</v>
      </c>
      <c r="N5" s="32">
        <f t="shared" si="0"/>
        <v>0</v>
      </c>
      <c r="O5" s="32">
        <f t="shared" si="0"/>
        <v>0</v>
      </c>
      <c r="P5" s="32">
        <f t="shared" si="0"/>
        <v>0</v>
      </c>
      <c r="Q5" s="32">
        <f t="shared" si="0"/>
        <v>0</v>
      </c>
      <c r="R5" s="32">
        <f t="shared" si="0"/>
        <v>0</v>
      </c>
      <c r="S5" s="32">
        <f t="shared" si="0"/>
        <v>0</v>
      </c>
      <c r="T5" s="32">
        <f t="shared" si="0"/>
        <v>0</v>
      </c>
      <c r="U5" s="32">
        <f t="shared" si="0"/>
        <v>0</v>
      </c>
      <c r="V5" s="32">
        <f t="shared" si="0"/>
        <v>0</v>
      </c>
      <c r="W5" s="32">
        <f t="shared" si="0"/>
        <v>0</v>
      </c>
      <c r="X5" s="32">
        <f t="shared" si="0"/>
        <v>0</v>
      </c>
      <c r="Y5" s="32">
        <f t="shared" si="0"/>
        <v>0</v>
      </c>
      <c r="Z5" s="32">
        <f t="shared" si="0"/>
        <v>0</v>
      </c>
      <c r="AA5" s="32">
        <f t="shared" si="0"/>
        <v>0</v>
      </c>
      <c r="AB5" s="32">
        <f t="shared" si="0"/>
        <v>0</v>
      </c>
      <c r="AC5" s="32">
        <f t="shared" si="0"/>
        <v>0</v>
      </c>
      <c r="AD5" s="32">
        <f t="shared" si="0"/>
        <v>0</v>
      </c>
      <c r="AE5" s="32">
        <f t="shared" si="0"/>
        <v>0</v>
      </c>
      <c r="AF5" s="32">
        <f t="shared" si="0"/>
        <v>0</v>
      </c>
      <c r="AG5" s="32">
        <f t="shared" si="0"/>
        <v>0</v>
      </c>
      <c r="AH5" s="32">
        <f t="shared" si="0"/>
        <v>0</v>
      </c>
    </row>
    <row r="6" spans="1:34" ht="19" thickBot="1">
      <c r="A6" s="119" t="s">
        <v>147</v>
      </c>
      <c r="B6" s="119"/>
      <c r="C6" s="119"/>
      <c r="D6" s="119"/>
      <c r="E6" s="32">
        <f>RANK(E5,$E$5:$AH$5)</f>
        <v>1</v>
      </c>
      <c r="F6" s="32">
        <f t="shared" ref="F6:AH6" si="1">RANK(F5,$E$5:$AH$5)</f>
        <v>1</v>
      </c>
      <c r="G6" s="32">
        <f t="shared" si="1"/>
        <v>1</v>
      </c>
      <c r="H6" s="32">
        <f t="shared" si="1"/>
        <v>1</v>
      </c>
      <c r="I6" s="32">
        <f t="shared" si="1"/>
        <v>1</v>
      </c>
      <c r="J6" s="32">
        <f t="shared" si="1"/>
        <v>1</v>
      </c>
      <c r="K6" s="32">
        <f t="shared" si="1"/>
        <v>1</v>
      </c>
      <c r="L6" s="32">
        <f t="shared" si="1"/>
        <v>1</v>
      </c>
      <c r="M6" s="32">
        <f t="shared" si="1"/>
        <v>1</v>
      </c>
      <c r="N6" s="32">
        <f t="shared" si="1"/>
        <v>1</v>
      </c>
      <c r="O6" s="32">
        <f t="shared" si="1"/>
        <v>1</v>
      </c>
      <c r="P6" s="32">
        <f t="shared" si="1"/>
        <v>1</v>
      </c>
      <c r="Q6" s="32">
        <f t="shared" si="1"/>
        <v>1</v>
      </c>
      <c r="R6" s="32">
        <f t="shared" si="1"/>
        <v>1</v>
      </c>
      <c r="S6" s="32">
        <f t="shared" si="1"/>
        <v>1</v>
      </c>
      <c r="T6" s="32">
        <f t="shared" si="1"/>
        <v>1</v>
      </c>
      <c r="U6" s="32">
        <f t="shared" si="1"/>
        <v>1</v>
      </c>
      <c r="V6" s="32">
        <f t="shared" si="1"/>
        <v>1</v>
      </c>
      <c r="W6" s="32">
        <f t="shared" si="1"/>
        <v>1</v>
      </c>
      <c r="X6" s="32">
        <f t="shared" si="1"/>
        <v>1</v>
      </c>
      <c r="Y6" s="32">
        <f t="shared" si="1"/>
        <v>1</v>
      </c>
      <c r="Z6" s="32">
        <f t="shared" si="1"/>
        <v>1</v>
      </c>
      <c r="AA6" s="32">
        <f t="shared" si="1"/>
        <v>1</v>
      </c>
      <c r="AB6" s="32">
        <f t="shared" si="1"/>
        <v>1</v>
      </c>
      <c r="AC6" s="32">
        <f t="shared" si="1"/>
        <v>1</v>
      </c>
      <c r="AD6" s="32">
        <f t="shared" si="1"/>
        <v>1</v>
      </c>
      <c r="AE6" s="32">
        <f t="shared" si="1"/>
        <v>1</v>
      </c>
      <c r="AF6" s="32">
        <f t="shared" si="1"/>
        <v>1</v>
      </c>
      <c r="AG6" s="32">
        <f t="shared" si="1"/>
        <v>1</v>
      </c>
      <c r="AH6" s="32">
        <f t="shared" si="1"/>
        <v>1</v>
      </c>
    </row>
    <row r="7" spans="1:34" ht="17.25" customHeight="1" thickBot="1">
      <c r="A7" s="43"/>
      <c r="B7" s="44" t="s">
        <v>133</v>
      </c>
      <c r="C7" s="45"/>
      <c r="D7" s="46" t="s">
        <v>144</v>
      </c>
      <c r="E7" s="123" t="s">
        <v>134</v>
      </c>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125"/>
    </row>
    <row r="8" spans="1:34" ht="14.25" customHeight="1" thickBot="1">
      <c r="A8" s="47" t="str">
        <f>'Factor Sheet'!A42&amp;""</f>
        <v>Overall</v>
      </c>
      <c r="B8" s="48" t="s">
        <v>135</v>
      </c>
      <c r="C8" s="49"/>
      <c r="D8" s="49">
        <f>+'Factor Sheet'!C42</f>
        <v>1</v>
      </c>
      <c r="E8" s="75"/>
      <c r="F8" s="75"/>
      <c r="G8" s="75"/>
      <c r="H8" s="75"/>
      <c r="I8" s="75"/>
      <c r="J8" s="75"/>
      <c r="K8" s="75"/>
      <c r="L8" s="75"/>
      <c r="M8" s="75"/>
      <c r="N8" s="75"/>
      <c r="O8" s="75"/>
      <c r="P8" s="75"/>
      <c r="Q8" s="75"/>
      <c r="R8" s="75"/>
      <c r="S8" s="75"/>
      <c r="T8" s="75"/>
      <c r="U8" s="75"/>
      <c r="V8" s="75"/>
      <c r="W8" s="75"/>
      <c r="X8" s="75"/>
      <c r="Y8" s="75"/>
      <c r="Z8" s="75"/>
      <c r="AA8" s="75"/>
      <c r="AB8" s="75"/>
      <c r="AC8" s="75"/>
      <c r="AD8" s="75"/>
      <c r="AE8" s="75"/>
      <c r="AF8" s="75"/>
      <c r="AG8" s="75"/>
      <c r="AH8" s="75"/>
    </row>
    <row r="9" spans="1:34" ht="14.25" customHeight="1" thickBot="1">
      <c r="A9" s="50"/>
      <c r="B9" s="51" t="s">
        <v>63</v>
      </c>
      <c r="C9" s="52"/>
      <c r="D9" s="52">
        <f>+'Factor Sheet'!D42</f>
        <v>1</v>
      </c>
      <c r="E9" s="75"/>
      <c r="F9" s="75"/>
      <c r="G9" s="75"/>
      <c r="H9" s="75"/>
      <c r="I9" s="75"/>
      <c r="J9" s="75"/>
      <c r="K9" s="75"/>
      <c r="L9" s="75"/>
      <c r="M9" s="75"/>
      <c r="N9" s="75"/>
      <c r="O9" s="75"/>
      <c r="P9" s="75"/>
      <c r="Q9" s="75"/>
      <c r="R9" s="75"/>
      <c r="S9" s="75"/>
      <c r="T9" s="75"/>
      <c r="U9" s="75"/>
      <c r="V9" s="75"/>
      <c r="W9" s="75"/>
      <c r="X9" s="75"/>
      <c r="Y9" s="75"/>
      <c r="Z9" s="75"/>
      <c r="AA9" s="75"/>
      <c r="AB9" s="75"/>
      <c r="AC9" s="75"/>
      <c r="AD9" s="75"/>
      <c r="AE9" s="75"/>
      <c r="AF9" s="75"/>
      <c r="AG9" s="75"/>
      <c r="AH9" s="75"/>
    </row>
    <row r="10" spans="1:34" ht="14.25" customHeight="1" thickBot="1">
      <c r="A10" s="50"/>
      <c r="B10" s="51" t="s">
        <v>64</v>
      </c>
      <c r="C10" s="52"/>
      <c r="D10" s="52">
        <f>+'Factor Sheet'!E42</f>
        <v>1.25</v>
      </c>
      <c r="E10" s="75"/>
      <c r="F10" s="75"/>
      <c r="G10" s="75"/>
      <c r="H10" s="75"/>
      <c r="I10" s="75"/>
      <c r="J10" s="75"/>
      <c r="K10" s="75"/>
      <c r="L10" s="75"/>
      <c r="M10" s="75"/>
      <c r="N10" s="75"/>
      <c r="O10" s="75"/>
      <c r="P10" s="75"/>
      <c r="Q10" s="75"/>
      <c r="R10" s="75"/>
      <c r="S10" s="75"/>
      <c r="T10" s="75"/>
      <c r="U10" s="75"/>
      <c r="V10" s="75"/>
      <c r="W10" s="75"/>
      <c r="X10" s="75"/>
      <c r="Y10" s="75"/>
      <c r="Z10" s="75"/>
      <c r="AA10" s="75"/>
      <c r="AB10" s="75"/>
      <c r="AC10" s="75"/>
      <c r="AD10" s="75"/>
      <c r="AE10" s="75"/>
      <c r="AF10" s="75"/>
      <c r="AG10" s="75"/>
      <c r="AH10" s="75"/>
    </row>
    <row r="11" spans="1:34" ht="14.25" customHeight="1" thickBot="1">
      <c r="A11" s="50"/>
      <c r="B11" s="51" t="s">
        <v>65</v>
      </c>
      <c r="C11" s="52"/>
      <c r="D11" s="52">
        <f>+'Factor Sheet'!F42</f>
        <v>1.5</v>
      </c>
      <c r="E11" s="75"/>
      <c r="F11" s="75"/>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row>
    <row r="12" spans="1:34" ht="14.25" customHeight="1" thickBot="1">
      <c r="A12" s="50"/>
      <c r="B12" s="51" t="s">
        <v>66</v>
      </c>
      <c r="C12" s="52"/>
      <c r="D12" s="52">
        <f>+'Factor Sheet'!G42</f>
        <v>1</v>
      </c>
      <c r="E12" s="75"/>
      <c r="F12" s="75"/>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row>
    <row r="13" spans="1:34" ht="14.25" customHeight="1" thickBot="1">
      <c r="A13" s="53"/>
      <c r="B13" s="54" t="s">
        <v>136</v>
      </c>
      <c r="C13" s="55"/>
      <c r="D13" s="55">
        <v>1</v>
      </c>
      <c r="E13" s="75"/>
      <c r="F13" s="75"/>
      <c r="G13" s="75"/>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row>
    <row r="14" spans="1:34" ht="14.25" customHeight="1" thickBot="1">
      <c r="A14" s="116" t="s">
        <v>145</v>
      </c>
      <c r="B14" s="117"/>
      <c r="C14" s="66"/>
      <c r="D14" s="66"/>
      <c r="E14" s="67">
        <f>IFERROR(+(D8*E8)+(D9*E9)+(D10*E10)+(D11*E11)+(D12*E12)+(D13*E13),"")</f>
        <v>0</v>
      </c>
      <c r="F14" s="67">
        <f>IFERROR(+(D8*F8)+(D9*F9)+(D10*F10)+(D11*F11)+(D12*F12)+(D13*F13),"")</f>
        <v>0</v>
      </c>
      <c r="G14" s="67">
        <f>IFERROR(+(D8*G8)+(D9*G9)+(D10*G10)+(D11*G11)+(D12*G12)+(D13*G13),"")</f>
        <v>0</v>
      </c>
      <c r="H14" s="67">
        <f>IFERROR(+(D8*H8)+(D9*H9)+(D10*H10)+(D11*H11)+(D12*H12)+(D13*H13),"")</f>
        <v>0</v>
      </c>
      <c r="I14" s="67">
        <f>IFERROR(+(D8*I8)+(D9*I9)+(D10*I10)+(D11*I11)+(D12*I12)+(D13*I13),"")</f>
        <v>0</v>
      </c>
      <c r="J14" s="67">
        <f>IFERROR(+(D8*J8)+(D9*J9)+(D10*J10)+(D11*J11)+(D12*J12)+(D13*J13),"")</f>
        <v>0</v>
      </c>
      <c r="K14" s="67">
        <f>IFERROR(+(D8*K8)+(D9*K9)+(D10*K10)+(D11*K11)+(D12*K12)+(D13*K13),"")</f>
        <v>0</v>
      </c>
      <c r="L14" s="67">
        <f>IFERROR(+(D8*L8)+(D9*L9)+(D10*L10)+(D11*L11)+(D12*L12)+(D13*L13),"")</f>
        <v>0</v>
      </c>
      <c r="M14" s="67">
        <f>IFERROR(+(D8*M8)+(D9*M9)+(D10*M10)+(D11*M11)+(D12*M12)+(D13*M13),"")</f>
        <v>0</v>
      </c>
      <c r="N14" s="67">
        <f>IFERROR(+(D8*N8)+(D9*N9)+(D10*N10)+(D11*N11)+(D12*N12)+(D13*N13),"")</f>
        <v>0</v>
      </c>
      <c r="O14" s="67">
        <f>IFERROR(+(D8*O8)+(D9*O9)+(D10*O10)+(D11*O11)+(D12*O12)+(D13*O13),"")</f>
        <v>0</v>
      </c>
      <c r="P14" s="67">
        <f>IFERROR(+(D8*P8)+(D9*P9)+(D10*P10)+(D11*P11)+(D12*P12)+(D13*P13),"")</f>
        <v>0</v>
      </c>
      <c r="Q14" s="67">
        <f>IFERROR(+(D8*Q8)+(D9*Q9)+(D10*Q10)+(D11*Q11)+(D12*Q12)+(D13*Q13),"")</f>
        <v>0</v>
      </c>
      <c r="R14" s="67">
        <f>IFERROR(+(D8*R8)+(D9*R9)+(D10*R10)+(D11*R11)+(D12*R12)+(D13*R13),"")</f>
        <v>0</v>
      </c>
      <c r="S14" s="67">
        <f>IFERROR(+(D8*S8)+(D9*S9)+(D10*S10)+(D11*S11)+(D12*S12)+(D13*S13),"")</f>
        <v>0</v>
      </c>
      <c r="T14" s="67">
        <f>IFERROR(+(D8*T8)+(D9*T9)+(D10*T10)+(D11*T11)+(D12*T12)+(D13*T13),"")</f>
        <v>0</v>
      </c>
      <c r="U14" s="67">
        <f>IFERROR(+(D8*U8)+(D9*U9)+(D10*U10)+(D11*U11)+(D12*U12)+(D13*U13),"")</f>
        <v>0</v>
      </c>
      <c r="V14" s="67">
        <f>IFERROR(+(D8*V8)+(D9*V9)+(D10*V10)+(D11*V11)+(D12*V12)+(D13*V13),"")</f>
        <v>0</v>
      </c>
      <c r="W14" s="67">
        <f>IFERROR(+(D8*W8)+(D9*W9)+(D10*W10)+(D11*W11)+(D12*W12)+(D13*W13),"")</f>
        <v>0</v>
      </c>
      <c r="X14" s="67">
        <f>IFERROR(+(D8*X8)+(D9*X9)+(D10*X10)+(D11*X11)+(D12*X12)+(D13*X13),"")</f>
        <v>0</v>
      </c>
      <c r="Y14" s="67">
        <f>IFERROR(+(D8*Y8)+(D9*Y9)+(D10*Y10)+(D11*Y11)+(D12*Y12)+(D13*Y13),"")</f>
        <v>0</v>
      </c>
      <c r="Z14" s="67">
        <f>IFERROR(+(D8*Z8)+(D9*Z9)+(D10*Z10)+(D11*Z11)+(D12*Z12)+(D13*Z13),"")</f>
        <v>0</v>
      </c>
      <c r="AA14" s="67">
        <f>IFERROR(+(D8*AA8)+(D9*AA9)+(D10*AA10)+(D11*AA11)+(D12*AA12)+(D13*AA13),"")</f>
        <v>0</v>
      </c>
      <c r="AB14" s="67">
        <f>IFERROR(+(D8*AB8)+(D9*AB9)+(D10*AB10)+(D11*AB11)+(D12*AB12)+(D13*AB13),"")</f>
        <v>0</v>
      </c>
      <c r="AC14" s="67">
        <f>IFERROR(+(D8*AC8)+(D9*AC9)+(D10*AC10)+(D11*AC11)+(D12*AC12)+(D13*AC13),"")</f>
        <v>0</v>
      </c>
      <c r="AD14" s="67">
        <f>IFERROR(+(D8*AD8)+(D9*AD9)+(D10*AD10)+(D11*AD11)+(D12*AD12)+(D13*AD13),"")</f>
        <v>0</v>
      </c>
      <c r="AE14" s="67">
        <f>IFERROR(+(D8*AE8)+(D9*AE9)+(D10*AE10)+(D11*AE11)+(D12*AE12)+(D13*AE13),"")</f>
        <v>0</v>
      </c>
      <c r="AF14" s="67">
        <f>IFERROR(+(D8*AF8)+(D9*AF9)+(D10*AF10)+(D11*AF11)+(D12*AF12)+(D13*AF13),"")</f>
        <v>0</v>
      </c>
      <c r="AG14" s="67">
        <f>IFERROR(+(D8*AG8)+(D9*AG9)+(D10*AG10)+(D11*AG11)+(D12*AG12)+(D13*AG13),"")</f>
        <v>0</v>
      </c>
      <c r="AH14" s="67">
        <f>IFERROR(+(D8*AH8)+(D9*AH9)+(D10*AH10)+(D11*AH11)+(D12*AH12)+(D13*AH13),"")</f>
        <v>0</v>
      </c>
    </row>
    <row r="15" spans="1:34" ht="15.75" customHeight="1" thickBot="1">
      <c r="A15" s="56" t="str">
        <f>+'Factor Sheet'!B44</f>
        <v>Bystander</v>
      </c>
      <c r="B15" s="57" t="s">
        <v>76</v>
      </c>
      <c r="C15" s="58"/>
      <c r="D15" s="58" t="str">
        <f>+'Factor Sheet'!C44</f>
        <v>1</v>
      </c>
      <c r="E15" s="75"/>
      <c r="F15" s="75"/>
      <c r="G15" s="75"/>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row>
    <row r="16" spans="1:34" ht="15.75" customHeight="1" thickBot="1">
      <c r="A16" s="50"/>
      <c r="B16" s="51" t="s">
        <v>107</v>
      </c>
      <c r="C16" s="52"/>
      <c r="D16" s="52" t="str">
        <f>+'Factor Sheet'!D44</f>
        <v>1</v>
      </c>
      <c r="E16" s="75"/>
      <c r="F16" s="75"/>
      <c r="G16" s="75"/>
      <c r="H16" s="75"/>
      <c r="I16" s="75"/>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row>
    <row r="17" spans="1:34" ht="15.75" customHeight="1" thickBot="1">
      <c r="A17" s="50"/>
      <c r="B17" s="51" t="s">
        <v>108</v>
      </c>
      <c r="C17" s="52"/>
      <c r="D17" s="52" t="str">
        <f>+'Factor Sheet'!E44</f>
        <v>1</v>
      </c>
      <c r="E17" s="75"/>
      <c r="F17" s="75"/>
      <c r="G17" s="75"/>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row>
    <row r="18" spans="1:34" ht="15.75" customHeight="1" thickBot="1">
      <c r="A18" s="50"/>
      <c r="B18" s="51" t="s">
        <v>109</v>
      </c>
      <c r="C18" s="52"/>
      <c r="D18" s="52" t="str">
        <f>+'Factor Sheet'!F44</f>
        <v>1</v>
      </c>
      <c r="E18" s="75"/>
      <c r="F18" s="75"/>
      <c r="G18" s="75"/>
      <c r="H18" s="75"/>
      <c r="I18" s="75"/>
      <c r="J18" s="75"/>
      <c r="K18" s="75"/>
      <c r="L18" s="75"/>
      <c r="M18" s="75"/>
      <c r="N18" s="75"/>
      <c r="O18" s="75"/>
      <c r="P18" s="75"/>
      <c r="Q18" s="75"/>
      <c r="R18" s="75"/>
      <c r="S18" s="75"/>
      <c r="T18" s="75"/>
      <c r="U18" s="75"/>
      <c r="V18" s="75"/>
      <c r="W18" s="75"/>
      <c r="X18" s="75"/>
      <c r="Y18" s="75"/>
      <c r="Z18" s="75"/>
      <c r="AA18" s="75"/>
      <c r="AB18" s="75"/>
      <c r="AC18" s="75"/>
      <c r="AD18" s="75"/>
      <c r="AE18" s="75"/>
      <c r="AF18" s="75"/>
      <c r="AG18" s="75"/>
      <c r="AH18" s="75"/>
    </row>
    <row r="19" spans="1:34" ht="15.75" customHeight="1" thickBot="1">
      <c r="A19" s="50"/>
      <c r="B19" s="51" t="s">
        <v>110</v>
      </c>
      <c r="C19" s="52"/>
      <c r="D19" s="52" t="str">
        <f>+'Factor Sheet'!G44</f>
        <v>1</v>
      </c>
      <c r="E19" s="75"/>
      <c r="F19" s="75"/>
      <c r="G19" s="75"/>
      <c r="H19" s="75"/>
      <c r="I19" s="75"/>
      <c r="J19" s="75"/>
      <c r="K19" s="75"/>
      <c r="L19" s="75"/>
      <c r="M19" s="75"/>
      <c r="N19" s="75"/>
      <c r="O19" s="75"/>
      <c r="P19" s="75"/>
      <c r="Q19" s="75"/>
      <c r="R19" s="75"/>
      <c r="S19" s="75"/>
      <c r="T19" s="75"/>
      <c r="U19" s="75"/>
      <c r="V19" s="75"/>
      <c r="W19" s="75"/>
      <c r="X19" s="75"/>
      <c r="Y19" s="75"/>
      <c r="Z19" s="75"/>
      <c r="AA19" s="75"/>
      <c r="AB19" s="75"/>
      <c r="AC19" s="75"/>
      <c r="AD19" s="75"/>
      <c r="AE19" s="75"/>
      <c r="AF19" s="75"/>
      <c r="AG19" s="75"/>
      <c r="AH19" s="75"/>
    </row>
    <row r="20" spans="1:34" ht="15.75" customHeight="1" thickBot="1">
      <c r="A20" s="53"/>
      <c r="B20" s="54" t="s">
        <v>136</v>
      </c>
      <c r="C20" s="55"/>
      <c r="D20" s="55">
        <v>1</v>
      </c>
      <c r="E20" s="75"/>
      <c r="F20" s="75"/>
      <c r="G20" s="75"/>
      <c r="H20" s="75"/>
      <c r="I20" s="75"/>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row>
    <row r="21" spans="1:34" ht="15.75" customHeight="1" thickBot="1">
      <c r="A21" s="116" t="s">
        <v>145</v>
      </c>
      <c r="B21" s="117"/>
      <c r="C21" s="66"/>
      <c r="D21" s="66"/>
      <c r="E21" s="67">
        <f>IFERROR(+(D15*E15)+(D16*E16)+(D17*E17)+(D18*E18)+(D19*E19)+(D20*E20),"")</f>
        <v>0</v>
      </c>
      <c r="F21" s="67">
        <f>IFERROR(+(D15*F15)+(D16*F16)+(D17*F17)+(D18*F18)+(D19*F19)+(D20*F20),"")</f>
        <v>0</v>
      </c>
      <c r="G21" s="67">
        <f>IFERROR(+(D15*G15)+(D16*G16)+(D17*G17)+(D18*G18)+(D19*G19)+(D20*G20),"")</f>
        <v>0</v>
      </c>
      <c r="H21" s="67">
        <f>IFERROR(+(D15*H15)+(D16*H16)+(D17*H17)+(D18*H18)+(D19*H19)+(D20*H20),"")</f>
        <v>0</v>
      </c>
      <c r="I21" s="67">
        <f>IFERROR(+(D15*I15)+(D16*I16)+(D17*I17)+(D18*I18)+(D19*I19)+(D20*I20),"")</f>
        <v>0</v>
      </c>
      <c r="J21" s="67">
        <f>IFERROR(+(D15*J15)+(D16*J16)+(D17*J17)+(D18*J18)+(D19*J19)+(D20*J20),"")</f>
        <v>0</v>
      </c>
      <c r="K21" s="67">
        <f>IFERROR(+(D15*K15)+(D16*K16)+(D17*K17)+(D18*K18)+(D19*K19)+(D20*K20),"")</f>
        <v>0</v>
      </c>
      <c r="L21" s="67">
        <f>IFERROR(+(D15*L15)+(D16*L16)+(D17*L17)+(D18*L18)+(D19*L19)+(D20*L20),"")</f>
        <v>0</v>
      </c>
      <c r="M21" s="67">
        <f>IFERROR(+(D15*M15)+(D16*M16)+(D17*M17)+(D18*M18)+(D19*M19)+(D20*M20),"")</f>
        <v>0</v>
      </c>
      <c r="N21" s="67">
        <f>IFERROR(+(D15*N15)+(D16*N16)+(D17*N17)+(D18*N18)+(D19*N19)+(D20*N20),"")</f>
        <v>0</v>
      </c>
      <c r="O21" s="67">
        <f>IFERROR(+(D15*O15)+(D16*O16)+(D17*O17)+(D18*O18)+(D19*O19)+(D20*O20),"")</f>
        <v>0</v>
      </c>
      <c r="P21" s="67">
        <f>IFERROR(+(D15*P15)+(D16*P16)+(D17*P17)+(D18*P18)+(D19*P19)+(D20*P20),"")</f>
        <v>0</v>
      </c>
      <c r="Q21" s="67">
        <f>IFERROR(+(D15*Q15)+(D16*Q16)+(D17*Q17)+(D18*Q18)+(D19*Q19)+(D20*Q20),"")</f>
        <v>0</v>
      </c>
      <c r="R21" s="67">
        <f>IFERROR(+(D15*R15)+(D16*R16)+(D17*R17)+(D18*R18)+(D19*R19)+(D20*R20),"")</f>
        <v>0</v>
      </c>
      <c r="S21" s="67">
        <f>IFERROR(+(D15*S15)+(D16*S16)+(D17*S17)+(D18*S18)+(D19*S19)+(D20*S20),"")</f>
        <v>0</v>
      </c>
      <c r="T21" s="67">
        <f>IFERROR(+(D15*T15)+(D16*T16)+(D17*T17)+(D18*T18)+(D19*T19)+(D20*T20),"")</f>
        <v>0</v>
      </c>
      <c r="U21" s="67">
        <f>IFERROR(+(D15*U15)+(D16*U16)+(D17*U17)+(D18*U18)+(D19*U19)+(D20*U20),"")</f>
        <v>0</v>
      </c>
      <c r="V21" s="67">
        <f>IFERROR(+(D15*V15)+(D16*V16)+(D17*V17)+(D18*V18)+(D19*V19)+(D20*V20),"")</f>
        <v>0</v>
      </c>
      <c r="W21" s="67">
        <f>IFERROR(+(D15*W15)+(D16*W16)+(D17*W17)+(D18*W18)+(D19*W19)+(D20*W20),"")</f>
        <v>0</v>
      </c>
      <c r="X21" s="67">
        <f>IFERROR(+(D15*X15)+(D16*X16)+(D17*X17)+(D18*X18)+(D19*X19)+(D20*X20),"")</f>
        <v>0</v>
      </c>
      <c r="Y21" s="67">
        <f>IFERROR(+(D15*Y15)+(D16*Y16)+(D17*Y17)+(D18*Y18)+(D19*Y19)+(D20*Y20),"")</f>
        <v>0</v>
      </c>
      <c r="Z21" s="67">
        <f>IFERROR(+(D15*Z15)+(D16*Z16)+(D17*Z17)+(D18*Z18)+(D19*Z19)+(D20*Z20),"")</f>
        <v>0</v>
      </c>
      <c r="AA21" s="67">
        <f>IFERROR(+(D15*AA15)+(D16*AA16)+(D17*AA17)+(D18*AA18)+(D19*AA19)+(D20*AA20),"")</f>
        <v>0</v>
      </c>
      <c r="AB21" s="67">
        <f>IFERROR(+(D15*AB15)+(D16*AB16)+(D17*AB17)+(D18*AB18)+(D19*AB19)+(D20*AB20),"")</f>
        <v>0</v>
      </c>
      <c r="AC21" s="67">
        <f>IFERROR(+(D15*AC15)+(D16*AC16)+(D17*AC17)+(D18*AC18)+(D19*AC19)+(D20*AC20),"")</f>
        <v>0</v>
      </c>
      <c r="AD21" s="67">
        <f>IFERROR(+(D15*AD15)+(D16*AD16)+(D17*AD17)+(D18*AD18)+(D19*AD19)+(D20*AD20),"")</f>
        <v>0</v>
      </c>
      <c r="AE21" s="67">
        <f>IFERROR(+(D15*AE15)+(D16*AE16)+(D17*AE17)+(D18*AE18)+(D19*AE19)+(D20*AE20),"")</f>
        <v>0</v>
      </c>
      <c r="AF21" s="67">
        <f>IFERROR(+(D15*AF15)+(D16*AF16)+(D17*AF17)+(D18*AF18)+(D19*AF19)+(D20*AF20),"")</f>
        <v>0</v>
      </c>
      <c r="AG21" s="67">
        <f>IFERROR(+(D15*AG15)+(D16*AG16)+(D17*AG17)+(D18*AG18)+(D19*AG19)+(D20*AG20),"")</f>
        <v>0</v>
      </c>
      <c r="AH21" s="67">
        <f>IFERROR(+(D15*AH15)+(D16*AH16)+(D17*AH17)+(D18*AH18)+(D19*AH19)+(D20*AH20),"")</f>
        <v>0</v>
      </c>
    </row>
    <row r="22" spans="1:34" ht="14.25" customHeight="1" thickBot="1">
      <c r="A22" s="56" t="str">
        <f>"Victim "&amp;'Factor Sheet'!A26&amp;" "&amp;'Factor Sheet'!B26</f>
        <v>Victim 1 Non Swimmer</v>
      </c>
      <c r="B22" s="57" t="s">
        <v>137</v>
      </c>
      <c r="C22" s="58"/>
      <c r="D22" s="58">
        <f>+'Factor Sheet'!C26</f>
        <v>1.25</v>
      </c>
      <c r="E22" s="75"/>
      <c r="F22" s="75"/>
      <c r="G22" s="75"/>
      <c r="H22" s="75"/>
      <c r="I22" s="75"/>
      <c r="J22" s="75"/>
      <c r="K22" s="75"/>
      <c r="L22" s="75"/>
      <c r="M22" s="75"/>
      <c r="N22" s="75"/>
      <c r="O22" s="75"/>
      <c r="P22" s="75"/>
      <c r="Q22" s="75"/>
      <c r="R22" s="75"/>
      <c r="S22" s="75"/>
      <c r="T22" s="75"/>
      <c r="U22" s="75"/>
      <c r="V22" s="75"/>
      <c r="W22" s="75"/>
      <c r="X22" s="75"/>
      <c r="Y22" s="75"/>
      <c r="Z22" s="75"/>
      <c r="AA22" s="75"/>
      <c r="AB22" s="75"/>
      <c r="AC22" s="75"/>
      <c r="AD22" s="75"/>
      <c r="AE22" s="75"/>
      <c r="AF22" s="75"/>
      <c r="AG22" s="75"/>
      <c r="AH22" s="75"/>
    </row>
    <row r="23" spans="1:34" ht="14.25" customHeight="1" thickBot="1">
      <c r="A23" s="50"/>
      <c r="B23" s="51" t="s">
        <v>48</v>
      </c>
      <c r="C23" s="52"/>
      <c r="D23" s="52">
        <f>+'Factor Sheet'!D26</f>
        <v>1.5</v>
      </c>
      <c r="E23" s="75"/>
      <c r="F23" s="75"/>
      <c r="G23" s="75"/>
      <c r="H23" s="75"/>
      <c r="I23" s="75"/>
      <c r="J23" s="75"/>
      <c r="K23" s="75"/>
      <c r="L23" s="75"/>
      <c r="M23" s="75"/>
      <c r="N23" s="75"/>
      <c r="O23" s="75"/>
      <c r="P23" s="75"/>
      <c r="Q23" s="75"/>
      <c r="R23" s="75"/>
      <c r="S23" s="75"/>
      <c r="T23" s="75"/>
      <c r="U23" s="75"/>
      <c r="V23" s="75"/>
      <c r="W23" s="75"/>
      <c r="X23" s="75"/>
      <c r="Y23" s="75"/>
      <c r="Z23" s="75"/>
      <c r="AA23" s="75"/>
      <c r="AB23" s="75"/>
      <c r="AC23" s="75"/>
      <c r="AD23" s="75"/>
      <c r="AE23" s="75"/>
      <c r="AF23" s="75"/>
      <c r="AG23" s="75"/>
      <c r="AH23" s="75"/>
    </row>
    <row r="24" spans="1:34" ht="14.25" customHeight="1" thickBot="1">
      <c r="A24" s="50"/>
      <c r="B24" s="51" t="s">
        <v>138</v>
      </c>
      <c r="C24" s="52"/>
      <c r="D24" s="52">
        <f>+'Factor Sheet'!E26</f>
        <v>1</v>
      </c>
      <c r="E24" s="75"/>
      <c r="F24" s="75"/>
      <c r="G24" s="75"/>
      <c r="H24" s="75"/>
      <c r="I24" s="75"/>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row>
    <row r="25" spans="1:34" ht="14.25" customHeight="1" thickBot="1">
      <c r="A25" s="50"/>
      <c r="B25" s="51" t="s">
        <v>50</v>
      </c>
      <c r="C25" s="52"/>
      <c r="D25" s="52">
        <f>+'Factor Sheet'!F26</f>
        <v>1.25</v>
      </c>
      <c r="E25" s="75"/>
      <c r="F25" s="75"/>
      <c r="G25" s="75"/>
      <c r="H25" s="75"/>
      <c r="I25" s="75"/>
      <c r="J25" s="75"/>
      <c r="K25" s="75"/>
      <c r="L25" s="75"/>
      <c r="M25" s="75"/>
      <c r="N25" s="75"/>
      <c r="O25" s="75"/>
      <c r="P25" s="75"/>
      <c r="Q25" s="75"/>
      <c r="R25" s="75"/>
      <c r="S25" s="75"/>
      <c r="T25" s="75"/>
      <c r="U25" s="75"/>
      <c r="V25" s="75"/>
      <c r="W25" s="75"/>
      <c r="X25" s="75"/>
      <c r="Y25" s="75"/>
      <c r="Z25" s="75"/>
      <c r="AA25" s="75"/>
      <c r="AB25" s="75"/>
      <c r="AC25" s="75"/>
      <c r="AD25" s="75"/>
      <c r="AE25" s="75"/>
      <c r="AF25" s="75"/>
      <c r="AG25" s="75"/>
      <c r="AH25" s="75"/>
    </row>
    <row r="26" spans="1:34" ht="14.25" customHeight="1" thickBot="1">
      <c r="A26" s="50"/>
      <c r="B26" s="51" t="s">
        <v>139</v>
      </c>
      <c r="C26" s="52"/>
      <c r="D26" s="52">
        <f>+'Factor Sheet'!G26</f>
        <v>1.25</v>
      </c>
      <c r="E26" s="75"/>
      <c r="F26" s="75"/>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row>
    <row r="27" spans="1:34" ht="14.25" customHeight="1" thickBot="1">
      <c r="A27" s="53"/>
      <c r="B27" s="54" t="s">
        <v>136</v>
      </c>
      <c r="C27" s="55"/>
      <c r="D27" s="55">
        <v>1</v>
      </c>
      <c r="E27" s="75"/>
      <c r="F27" s="75"/>
      <c r="G27" s="75"/>
      <c r="H27" s="75"/>
      <c r="I27" s="75"/>
      <c r="J27" s="75"/>
      <c r="K27" s="75"/>
      <c r="L27" s="75"/>
      <c r="M27" s="75"/>
      <c r="N27" s="75"/>
      <c r="O27" s="75"/>
      <c r="P27" s="75"/>
      <c r="Q27" s="75"/>
      <c r="R27" s="75"/>
      <c r="S27" s="75"/>
      <c r="T27" s="75"/>
      <c r="U27" s="75"/>
      <c r="V27" s="75"/>
      <c r="W27" s="75"/>
      <c r="X27" s="75"/>
      <c r="Y27" s="75"/>
      <c r="Z27" s="75"/>
      <c r="AA27" s="75"/>
      <c r="AB27" s="75"/>
      <c r="AC27" s="75"/>
      <c r="AD27" s="75"/>
      <c r="AE27" s="75"/>
      <c r="AF27" s="75"/>
      <c r="AG27" s="75"/>
      <c r="AH27" s="75"/>
    </row>
    <row r="28" spans="1:34" ht="14.25" customHeight="1" thickBot="1">
      <c r="A28" s="116" t="s">
        <v>145</v>
      </c>
      <c r="B28" s="117"/>
      <c r="C28" s="66"/>
      <c r="D28" s="66"/>
      <c r="E28" s="67">
        <f>IFERROR(+(D22*E22)+(D23*E23)+(D24*E24)+(D25*E25)+(D26*E26)+(D27*E27),"")</f>
        <v>0</v>
      </c>
      <c r="F28" s="67">
        <f>IFERROR(+(D22*F22)+(D23*F23)+(D24*F24)+(D25*F25)+(D26*F26)+(D27*F27),"")</f>
        <v>0</v>
      </c>
      <c r="G28" s="67">
        <f>IFERROR(+(D22*G22)+(D23*G23)+(D24*G24)+(D25*G25)+(D26*G26)+(D27*G27),"")</f>
        <v>0</v>
      </c>
      <c r="H28" s="67">
        <f>IFERROR(+(D22*H22)+(D23*H23)+(D24*H24)+(D25*H25)+(D26*H26)+(D27*H27),"")</f>
        <v>0</v>
      </c>
      <c r="I28" s="67">
        <f>IFERROR(+(D22*I22)+(D23*I23)+(D24*I24)+(D25*I25)+(D26*I26)+(D27*I27),"")</f>
        <v>0</v>
      </c>
      <c r="J28" s="67">
        <f>IFERROR(+(D22*J22)+(D23*J23)+(D24*J24)+(D25*J25)+(D26*J26)+(D27*J27),"")</f>
        <v>0</v>
      </c>
      <c r="K28" s="67">
        <f>IFERROR(+(D22*K22)+(D23*K23)+(D24*K24)+(D25*K25)+(D26*K26)+(D27*K27),"")</f>
        <v>0</v>
      </c>
      <c r="L28" s="67">
        <f>IFERROR(+(D22*L22)+(D23*L23)+(D24*L24)+(D25*L25)+(D26*L26)+(D27*L27),"")</f>
        <v>0</v>
      </c>
      <c r="M28" s="67">
        <f>IFERROR(+(D22*M22)+(D23*M23)+(D24*M24)+(D25*M25)+(D26*M26)+(D27*M27),"")</f>
        <v>0</v>
      </c>
      <c r="N28" s="67">
        <f>IFERROR(+(D22*N22)+(D23*N23)+(D24*N24)+(D25*N25)+(D26*N26)+(D27*N27),"")</f>
        <v>0</v>
      </c>
      <c r="O28" s="67">
        <f>IFERROR(+(D22*O22)+(D23*O23)+(D24*O24)+(D25*O25)+(D26*O26)+(D27*O27),"")</f>
        <v>0</v>
      </c>
      <c r="P28" s="67">
        <f>IFERROR(+(D22*P22)+(D23*P23)+(D24*P24)+(D25*P25)+(D26*P26)+(D27*P27),"")</f>
        <v>0</v>
      </c>
      <c r="Q28" s="67">
        <f>IFERROR(+(D22*Q22)+(D23*Q23)+(D24*Q24)+(D25*Q25)+(D26*Q26)+(D27*Q27),"")</f>
        <v>0</v>
      </c>
      <c r="R28" s="67">
        <f>IFERROR(+(D22*R22)+(D23*R23)+(D24*R24)+(D25*R25)+(D26*R26)+(D27*R27),"")</f>
        <v>0</v>
      </c>
      <c r="S28" s="67">
        <f>IFERROR(+(D22*S22)+(D23*S23)+(D24*S24)+(D25*S25)+(D26*S26)+(D27*S27),"")</f>
        <v>0</v>
      </c>
      <c r="T28" s="67">
        <f>IFERROR(+(D22*T22)+(D23*T23)+(D24*T24)+(D25*T25)+(D26*T26)+(D27*T27),"")</f>
        <v>0</v>
      </c>
      <c r="U28" s="67">
        <f>IFERROR(+(D22*U22)+(D23*U23)+(D24*U24)+(D25*U25)+(D26*U26)+(D27*U27),"")</f>
        <v>0</v>
      </c>
      <c r="V28" s="67">
        <f>IFERROR(+(D22*V22)+(D23*V23)+(D24*V24)+(D25*V25)+(D26*V26)+(D27*V27),"")</f>
        <v>0</v>
      </c>
      <c r="W28" s="67">
        <f>IFERROR(+(D22*W22)+(D23*W23)+(D24*W24)+(D25*W25)+(D26*W26)+(D27*W27),"")</f>
        <v>0</v>
      </c>
      <c r="X28" s="67">
        <f>IFERROR(+(D22*X22)+(D23*X23)+(D24*X24)+(D25*X25)+(D26*X26)+(D27*X27),"")</f>
        <v>0</v>
      </c>
      <c r="Y28" s="67">
        <f>IFERROR(+(D22*Y22)+(D23*Y23)+(D24*Y24)+(D25*Y25)+(D26*Y26)+(D27*Y27),"")</f>
        <v>0</v>
      </c>
      <c r="Z28" s="67">
        <f>IFERROR(+(D22*Z22)+(D23*Z23)+(D24*Z24)+(D25*Z25)+(D26*Z26)+(D27*Z27),"")</f>
        <v>0</v>
      </c>
      <c r="AA28" s="67">
        <f>IFERROR(+(D22*AA22)+(D23*AA23)+(D24*AA24)+(D25*AA25)+(D26*AA26)+(D27*AA27),"")</f>
        <v>0</v>
      </c>
      <c r="AB28" s="67">
        <f>IFERROR(+(D22*AB22)+(D23*AB23)+(D24*AB24)+(D25*AB25)+(D26*AB26)+(D27*AB27),"")</f>
        <v>0</v>
      </c>
      <c r="AC28" s="67">
        <f>IFERROR(+(D22*AC22)+(D23*AC23)+(D24*AC24)+(D25*AC25)+(D26*AC26)+(D27*AC27),"")</f>
        <v>0</v>
      </c>
      <c r="AD28" s="67">
        <f>IFERROR(+(D22*AD22)+(D23*AD23)+(D24*AD24)+(D25*AD25)+(D26*AD26)+(D27*AD27),"")</f>
        <v>0</v>
      </c>
      <c r="AE28" s="67">
        <f>IFERROR(+(D22*AE22)+(D23*AE23)+(D24*AE24)+(D25*AE25)+(D26*AE26)+(D27*AE27),"")</f>
        <v>0</v>
      </c>
      <c r="AF28" s="67">
        <f>IFERROR(+(D22*AF22)+(D23*AF23)+(D24*AF24)+(D25*AF25)+(D26*AF26)+(D27*AF27),"")</f>
        <v>0</v>
      </c>
      <c r="AG28" s="67">
        <f>IFERROR(+(D22*AG22)+(D23*AG23)+(D24*AG24)+(D25*AG25)+(D26*AG26)+(D27*AG27),"")</f>
        <v>0</v>
      </c>
      <c r="AH28" s="67">
        <f>IFERROR(+(D22*AH22)+(D23*AH23)+(D24*AH24)+(D25*AH25)+(D26*AH26)+(D27*AH27),"")</f>
        <v>0</v>
      </c>
    </row>
    <row r="29" spans="1:34" ht="14.25" customHeight="1" thickBot="1">
      <c r="A29" s="56" t="str">
        <f>"Victim "&amp;'Factor Sheet'!A27&amp;" "&amp;'Factor Sheet'!B27</f>
        <v>Victim 2 Non Swimmer</v>
      </c>
      <c r="B29" s="57" t="s">
        <v>137</v>
      </c>
      <c r="C29" s="58"/>
      <c r="D29" s="58">
        <f>+'Factor Sheet'!C27</f>
        <v>1.25</v>
      </c>
      <c r="E29" s="75"/>
      <c r="F29" s="75"/>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row>
    <row r="30" spans="1:34" ht="14.25" customHeight="1" thickBot="1">
      <c r="A30" s="50"/>
      <c r="B30" s="51" t="s">
        <v>48</v>
      </c>
      <c r="C30" s="52"/>
      <c r="D30" s="52">
        <f>+'Factor Sheet'!D27</f>
        <v>1.25</v>
      </c>
      <c r="E30" s="75"/>
      <c r="F30" s="75"/>
      <c r="G30" s="7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row>
    <row r="31" spans="1:34" ht="14.25" customHeight="1" thickBot="1">
      <c r="A31" s="50"/>
      <c r="B31" s="51" t="s">
        <v>138</v>
      </c>
      <c r="C31" s="52"/>
      <c r="D31" s="52">
        <f>+'Factor Sheet'!E27</f>
        <v>1</v>
      </c>
      <c r="E31" s="75"/>
      <c r="F31" s="75"/>
      <c r="G31" s="75"/>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row>
    <row r="32" spans="1:34" ht="14.25" customHeight="1" thickBot="1">
      <c r="A32" s="50"/>
      <c r="B32" s="51" t="s">
        <v>50</v>
      </c>
      <c r="C32" s="52"/>
      <c r="D32" s="52">
        <f>+'Factor Sheet'!F27</f>
        <v>1.25</v>
      </c>
      <c r="E32" s="75"/>
      <c r="F32" s="75"/>
      <c r="G32" s="75"/>
      <c r="H32" s="75"/>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row>
    <row r="33" spans="1:34" ht="14.25" customHeight="1" thickBot="1">
      <c r="A33" s="50"/>
      <c r="B33" s="51" t="s">
        <v>139</v>
      </c>
      <c r="C33" s="52"/>
      <c r="D33" s="52">
        <f>+'Factor Sheet'!G27</f>
        <v>1.25</v>
      </c>
      <c r="E33" s="75"/>
      <c r="F33" s="75"/>
      <c r="G33" s="75"/>
      <c r="H33" s="75"/>
      <c r="I33" s="75"/>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row>
    <row r="34" spans="1:34" ht="14.25" customHeight="1" thickBot="1">
      <c r="A34" s="53"/>
      <c r="B34" s="54" t="s">
        <v>136</v>
      </c>
      <c r="C34" s="55"/>
      <c r="D34" s="55">
        <v>1</v>
      </c>
      <c r="E34" s="75"/>
      <c r="F34" s="75"/>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row>
    <row r="35" spans="1:34" ht="14.25" customHeight="1" thickBot="1">
      <c r="A35" s="116" t="s">
        <v>145</v>
      </c>
      <c r="B35" s="117"/>
      <c r="C35" s="66"/>
      <c r="D35" s="66"/>
      <c r="E35" s="67">
        <f>IFERROR(+(D29*E29)+(D30*E30)+(D31*E31)+(D32*E32)+(D33*E33)+(D34*E34),"")</f>
        <v>0</v>
      </c>
      <c r="F35" s="67">
        <f>IFERROR(+(D29*F29)+(D30*F30)+(D31*F31)+(D32*F32)+(D33*F33)+(D34*F34),"")</f>
        <v>0</v>
      </c>
      <c r="G35" s="67">
        <f>IFERROR(+(D29*G29)+(D30*G30)+(D31*G31)+(D32*G32)+(D33*G33)+(D34*G34),"")</f>
        <v>0</v>
      </c>
      <c r="H35" s="67">
        <f>IFERROR(+(D29*H29)+(D30*H30)+(D31*H31)+(D32*H32)+(D33*H33)+(D34*H34),"")</f>
        <v>0</v>
      </c>
      <c r="I35" s="67">
        <f>IFERROR(+(D29*I29)+(D30*I30)+(D31*I31)+(D32*I32)+(D33*I33)+(D34*I34),"")</f>
        <v>0</v>
      </c>
      <c r="J35" s="67">
        <f>IFERROR(+(D29*J29)+(D30*J30)+(D31*J31)+(D32*J32)+(D33*J33)+(D34*J34),"")</f>
        <v>0</v>
      </c>
      <c r="K35" s="67">
        <f>IFERROR(+(D29*K29)+(D30*K30)+(D31*K31)+(D32*K32)+(D33*K33)+(D34*K34),"")</f>
        <v>0</v>
      </c>
      <c r="L35" s="67">
        <f>IFERROR(+(D29*L29)+(D30*L30)+(D31*L31)+(D32*L32)+(D33*L33)+(D34*L34),"")</f>
        <v>0</v>
      </c>
      <c r="M35" s="67">
        <f>IFERROR(+(D29*M29)+(D30*M30)+(D31*M31)+(D32*M32)+(D33*M33)+(D34*M34),"")</f>
        <v>0</v>
      </c>
      <c r="N35" s="67">
        <f>IFERROR(+(D29*N29)+(D30*N30)+(D31*N31)+(D32*N32)+(D33*N33)+(D34*N34),"")</f>
        <v>0</v>
      </c>
      <c r="O35" s="67">
        <f>IFERROR(+(D29*O29)+(D30*O30)+(D31*O31)+(D32*O32)+(D33*O33)+(D34*O34),"")</f>
        <v>0</v>
      </c>
      <c r="P35" s="67">
        <f>IFERROR(+(D29*P29)+(D30*P30)+(D31*P31)+(D32*P32)+(D33*P33)+(D34*P34),"")</f>
        <v>0</v>
      </c>
      <c r="Q35" s="67">
        <f>IFERROR(+(D29*Q29)+(D30*Q30)+(D31*Q31)+(D32*Q32)+(D33*Q33)+(D34*Q34),"")</f>
        <v>0</v>
      </c>
      <c r="R35" s="67">
        <f>IFERROR(+(D29*R29)+(D30*R30)+(D31*R31)+(D32*R32)+(D33*R33)+(D34*R34),"")</f>
        <v>0</v>
      </c>
      <c r="S35" s="67">
        <f>IFERROR(+(D29*S29)+(D30*S30)+(D31*S31)+(D32*S32)+(D33*S33)+(D34*S34),"")</f>
        <v>0</v>
      </c>
      <c r="T35" s="67">
        <f>IFERROR(+(D29*T29)+(D30*T30)+(D31*T31)+(D32*T32)+(D33*T33)+(D34*T34),"")</f>
        <v>0</v>
      </c>
      <c r="U35" s="67">
        <f>IFERROR(+(D29*U29)+(D30*U30)+(D31*U31)+(D32*U32)+(D33*U33)+(D34*U34),"")</f>
        <v>0</v>
      </c>
      <c r="V35" s="67">
        <f>IFERROR(+(D29*V29)+(D30*V30)+(D31*V31)+(D32*V32)+(D33*V33)+(D34*V34),"")</f>
        <v>0</v>
      </c>
      <c r="W35" s="67">
        <f>IFERROR(+(D29*W29)+(D30*W30)+(D31*W31)+(D32*W32)+(D33*W33)+(D34*W34),"")</f>
        <v>0</v>
      </c>
      <c r="X35" s="67">
        <f>IFERROR(+(D29*X29)+(D30*X30)+(D31*X31)+(D32*X32)+(D33*X33)+(D34*X34),"")</f>
        <v>0</v>
      </c>
      <c r="Y35" s="67">
        <f>IFERROR(+(D29*Y29)+(D30*Y30)+(D31*Y31)+(D32*Y32)+(D33*Y33)+(D34*Y34),"")</f>
        <v>0</v>
      </c>
      <c r="Z35" s="67">
        <f>IFERROR(+(D29*Z29)+(D30*Z30)+(D31*Z31)+(D32*Z32)+(D33*Z33)+(D34*Z34),"")</f>
        <v>0</v>
      </c>
      <c r="AA35" s="67">
        <f>IFERROR(+(D29*AA29)+(D30*AA30)+(D31*AA31)+(D32*AA32)+(D33*AA33)+(D34*AA34),"")</f>
        <v>0</v>
      </c>
      <c r="AB35" s="67">
        <f>IFERROR(+(D29*AB29)+(D30*AB30)+(D31*AB31)+(D32*AB32)+(D33*AB33)+(D34*AB34),"")</f>
        <v>0</v>
      </c>
      <c r="AC35" s="67">
        <f>IFERROR(+(D29*AC29)+(D30*AC30)+(D31*AC31)+(D32*AC32)+(D33*AC33)+(D34*AC34),"")</f>
        <v>0</v>
      </c>
      <c r="AD35" s="67">
        <f>IFERROR(+(D29*AD29)+(D30*AD30)+(D31*AD31)+(D32*AD32)+(D33*AD33)+(D34*AD34),"")</f>
        <v>0</v>
      </c>
      <c r="AE35" s="67">
        <f>IFERROR(+(D29*AE29)+(D30*AE30)+(D31*AE31)+(D32*AE32)+(D33*AE33)+(D34*AE34),"")</f>
        <v>0</v>
      </c>
      <c r="AF35" s="67">
        <f>IFERROR(+(D29*AF29)+(D30*AF30)+(D31*AF31)+(D32*AF32)+(D33*AF33)+(D34*AF34),"")</f>
        <v>0</v>
      </c>
      <c r="AG35" s="67">
        <f>IFERROR(+(D29*AG29)+(D30*AG30)+(D31*AG31)+(D32*AG32)+(D33*AG33)+(D34*AG34),"")</f>
        <v>0</v>
      </c>
      <c r="AH35" s="67">
        <f>IFERROR(+(D29*AH29)+(D30*AH30)+(D31*AH31)+(D32*AH32)+(D33*AH33)+(D34*AH34),"")</f>
        <v>0</v>
      </c>
    </row>
    <row r="36" spans="1:34" ht="14.25" customHeight="1" thickBot="1">
      <c r="A36" s="56" t="str">
        <f>"Victim "&amp;'Factor Sheet'!A28&amp;" "&amp;'Factor Sheet'!B28</f>
        <v>Victim 3 Weak Swimmer</v>
      </c>
      <c r="B36" s="57" t="s">
        <v>137</v>
      </c>
      <c r="C36" s="58"/>
      <c r="D36" s="58">
        <f>+'Factor Sheet'!C28</f>
        <v>1.25</v>
      </c>
      <c r="E36" s="75"/>
      <c r="F36" s="75"/>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row>
    <row r="37" spans="1:34" ht="14.25" customHeight="1" thickBot="1">
      <c r="A37" s="50"/>
      <c r="B37" s="51" t="s">
        <v>48</v>
      </c>
      <c r="C37" s="52"/>
      <c r="D37" s="52">
        <f>+'Factor Sheet'!D28</f>
        <v>1.25</v>
      </c>
      <c r="E37" s="75"/>
      <c r="F37" s="75"/>
      <c r="G37" s="75"/>
      <c r="H37" s="75"/>
      <c r="I37" s="75"/>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row>
    <row r="38" spans="1:34" ht="14.25" customHeight="1" thickBot="1">
      <c r="A38" s="50"/>
      <c r="B38" s="51" t="s">
        <v>138</v>
      </c>
      <c r="C38" s="52"/>
      <c r="D38" s="52">
        <f>+'Factor Sheet'!E28</f>
        <v>1.25</v>
      </c>
      <c r="E38" s="75"/>
      <c r="F38" s="75"/>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row>
    <row r="39" spans="1:34" ht="14.25" customHeight="1" thickBot="1">
      <c r="A39" s="50"/>
      <c r="B39" s="51" t="s">
        <v>50</v>
      </c>
      <c r="C39" s="52"/>
      <c r="D39" s="52">
        <f>+'Factor Sheet'!F28</f>
        <v>1.5</v>
      </c>
      <c r="E39" s="75"/>
      <c r="F39" s="75"/>
      <c r="G39" s="75"/>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row>
    <row r="40" spans="1:34" ht="14.25" customHeight="1" thickBot="1">
      <c r="A40" s="50"/>
      <c r="B40" s="51" t="s">
        <v>139</v>
      </c>
      <c r="C40" s="52"/>
      <c r="D40" s="52">
        <f>+'Factor Sheet'!G28</f>
        <v>1</v>
      </c>
      <c r="E40" s="75"/>
      <c r="F40" s="75"/>
      <c r="G40" s="75"/>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row>
    <row r="41" spans="1:34" ht="14.25" customHeight="1" thickBot="1">
      <c r="A41" s="53"/>
      <c r="B41" s="54" t="s">
        <v>136</v>
      </c>
      <c r="C41" s="55"/>
      <c r="D41" s="55">
        <v>1</v>
      </c>
      <c r="E41" s="75"/>
      <c r="F41" s="75"/>
      <c r="G41" s="7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row>
    <row r="42" spans="1:34" ht="14.25" customHeight="1" thickBot="1">
      <c r="A42" s="116" t="s">
        <v>145</v>
      </c>
      <c r="B42" s="117"/>
      <c r="C42" s="66"/>
      <c r="D42" s="66"/>
      <c r="E42" s="67">
        <f>IFERROR(+(D36*E36)+(D37*E37)+(D38*E38)+(D39*E39)+(D40*E40)+(D41*E41),"")</f>
        <v>0</v>
      </c>
      <c r="F42" s="67">
        <f>IFERROR(+(D36*F36)+(D37*F37)+(D38*F38)+(D39*F39)+(D40*F40)+(D41*F41),"")</f>
        <v>0</v>
      </c>
      <c r="G42" s="67">
        <f>IFERROR(+(D36*G36)+(D37*G37)+(D38*G38)+(D39*G39)+(D40*G40)+(D41*G41),"")</f>
        <v>0</v>
      </c>
      <c r="H42" s="67">
        <f>IFERROR(+(D36*H36)+(D37*H37)+(D38*H38)+(D39*H39)+(D40*H40)+(D41*H41),"")</f>
        <v>0</v>
      </c>
      <c r="I42" s="67">
        <f>IFERROR(+(D36*I36)+(D37*I37)+(D38*I38)+(D39*I39)+(D40*I40)+(D41*I41),"")</f>
        <v>0</v>
      </c>
      <c r="J42" s="67">
        <f>IFERROR(+(D36*J36)+(D37*J37)+(D38*J38)+(D39*J39)+(D40*J40)+(D41*J41),"")</f>
        <v>0</v>
      </c>
      <c r="K42" s="67">
        <f>IFERROR(+(D36*K36)+(D37*K37)+(D38*K38)+(D39*K39)+(D40*K40)+(D41*K41),"")</f>
        <v>0</v>
      </c>
      <c r="L42" s="67">
        <f>IFERROR(+(D36*L36)+(D37*L37)+(D38*L38)+(D39*L39)+(D40*L40)+(D41*L41),"")</f>
        <v>0</v>
      </c>
      <c r="M42" s="67">
        <f>IFERROR(+(D36*M36)+(D37*M37)+(D38*M38)+(D39*M39)+(D40*M40)+(D41*M41),"")</f>
        <v>0</v>
      </c>
      <c r="N42" s="67">
        <f>IFERROR(+(D36*N36)+(D37*N37)+(D38*N38)+(D39*N39)+(D40*N40)+(D41*N41),"")</f>
        <v>0</v>
      </c>
      <c r="O42" s="67">
        <f>IFERROR(+(D36*O36)+(D37*O37)+(D38*O38)+(D39*O39)+(D40*O40)+(D41*O41),"")</f>
        <v>0</v>
      </c>
      <c r="P42" s="67">
        <f>IFERROR(+(D36*P36)+(D37*P37)+(D38*P38)+(D39*P39)+(D40*P40)+(D41*P41),"")</f>
        <v>0</v>
      </c>
      <c r="Q42" s="67">
        <f>IFERROR(+(D36*Q36)+(D37*Q37)+(D38*Q38)+(D39*Q39)+(D40*Q40)+(D41*Q41),"")</f>
        <v>0</v>
      </c>
      <c r="R42" s="67">
        <f>IFERROR(+(D36*R36)+(D37*R37)+(D38*R38)+(D39*R39)+(D40*R40)+(D41*R41),"")</f>
        <v>0</v>
      </c>
      <c r="S42" s="67">
        <f>IFERROR(+(D36*S36)+(D37*S37)+(D38*S38)+(D39*S39)+(D40*S40)+(D41*S41),"")</f>
        <v>0</v>
      </c>
      <c r="T42" s="67">
        <f>IFERROR(+(D36*T36)+(D37*T37)+(D38*T38)+(D39*T39)+(D40*T40)+(D41*T41),"")</f>
        <v>0</v>
      </c>
      <c r="U42" s="67">
        <f>IFERROR(+(D36*U36)+(D37*U37)+(D38*U38)+(D39*U39)+(D40*U40)+(D41*U41),"")</f>
        <v>0</v>
      </c>
      <c r="V42" s="67">
        <f>IFERROR(+(D36*V36)+(D37*V37)+(D38*V38)+(D39*V39)+(D40*V40)+(D41*V41),"")</f>
        <v>0</v>
      </c>
      <c r="W42" s="67">
        <f>IFERROR(+(D36*W36)+(D37*W37)+(D38*W38)+(D39*W39)+(D40*W40)+(D41*W41),"")</f>
        <v>0</v>
      </c>
      <c r="X42" s="67">
        <f>IFERROR(+(D36*X36)+(D37*X37)+(D38*X38)+(D39*X39)+(D40*X40)+(D41*X41),"")</f>
        <v>0</v>
      </c>
      <c r="Y42" s="67">
        <f>IFERROR(+(D36*Y36)+(D37*Y37)+(D38*Y38)+(D39*Y39)+(D40*Y40)+(D41*Y41),"")</f>
        <v>0</v>
      </c>
      <c r="Z42" s="67">
        <f>IFERROR(+(D36*Z36)+(D37*Z37)+(D38*Z38)+(D39*Z39)+(D40*Z40)+(D41*Z41),"")</f>
        <v>0</v>
      </c>
      <c r="AA42" s="67">
        <f>IFERROR(+(D36*AA36)+(D37*AA37)+(D38*AA38)+(D39*AA39)+(D40*AA40)+(D41*AA41),"")</f>
        <v>0</v>
      </c>
      <c r="AB42" s="67">
        <f>IFERROR(+(D36*AB36)+(D37*AB37)+(D38*AB38)+(D39*AB39)+(D40*AB40)+(D41*AB41),"")</f>
        <v>0</v>
      </c>
      <c r="AC42" s="67">
        <f>IFERROR(+(D36*AC36)+(D37*AC37)+(D38*AC38)+(D39*AC39)+(D40*AC40)+(D41*AC41),"")</f>
        <v>0</v>
      </c>
      <c r="AD42" s="67">
        <f>IFERROR(+(D36*AD36)+(D37*AD37)+(D38*AD38)+(D39*AD39)+(D40*AD40)+(D41*AD41),"")</f>
        <v>0</v>
      </c>
      <c r="AE42" s="67">
        <f>IFERROR(+(D36*AE36)+(D37*AE37)+(D38*AE38)+(D39*AE39)+(D40*AE40)+(D41*AE41),"")</f>
        <v>0</v>
      </c>
      <c r="AF42" s="67">
        <f>IFERROR(+(D36*AF36)+(D37*AF37)+(D38*AF38)+(D39*AF39)+(D40*AF40)+(D41*AF41),"")</f>
        <v>0</v>
      </c>
      <c r="AG42" s="67">
        <f>IFERROR(+(D36*AG36)+(D37*AG37)+(D38*AG38)+(D39*AG39)+(D40*AG40)+(D41*AG41),"")</f>
        <v>0</v>
      </c>
      <c r="AH42" s="67">
        <f>IFERROR(+(D36*AH36)+(D37*AH37)+(D38*AH38)+(D39*AH39)+(D40*AH40)+(D41*AH41),"")</f>
        <v>0</v>
      </c>
    </row>
    <row r="43" spans="1:34" ht="14.25" customHeight="1" thickBot="1">
      <c r="A43" s="56" t="str">
        <f>"Victim "&amp;'Factor Sheet'!A29&amp;" "&amp;'Factor Sheet'!B29</f>
        <v>Victim 4 Weak Swimmer</v>
      </c>
      <c r="B43" s="57" t="s">
        <v>137</v>
      </c>
      <c r="C43" s="58"/>
      <c r="D43" s="58">
        <f>+'Factor Sheet'!C29</f>
        <v>1</v>
      </c>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row>
    <row r="44" spans="1:34" ht="14.25" customHeight="1" thickBot="1">
      <c r="A44" s="50"/>
      <c r="B44" s="51" t="s">
        <v>48</v>
      </c>
      <c r="C44" s="52"/>
      <c r="D44" s="52">
        <f>+'Factor Sheet'!D29</f>
        <v>1.5</v>
      </c>
      <c r="E44" s="75"/>
      <c r="F44" s="75"/>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row>
    <row r="45" spans="1:34" ht="14.25" customHeight="1" thickBot="1">
      <c r="A45" s="50"/>
      <c r="B45" s="51" t="s">
        <v>138</v>
      </c>
      <c r="C45" s="52"/>
      <c r="D45" s="52">
        <f>+'Factor Sheet'!E29</f>
        <v>1.25</v>
      </c>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row>
    <row r="46" spans="1:34" ht="14.25" customHeight="1" thickBot="1">
      <c r="A46" s="50"/>
      <c r="B46" s="51" t="s">
        <v>50</v>
      </c>
      <c r="C46" s="52"/>
      <c r="D46" s="52">
        <f>+'Factor Sheet'!F29</f>
        <v>1.5</v>
      </c>
      <c r="E46" s="75"/>
      <c r="F46" s="75"/>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row>
    <row r="47" spans="1:34" ht="14.25" customHeight="1" thickBot="1">
      <c r="A47" s="50"/>
      <c r="B47" s="51" t="s">
        <v>139</v>
      </c>
      <c r="C47" s="52"/>
      <c r="D47" s="52">
        <f>+'Factor Sheet'!G29</f>
        <v>1</v>
      </c>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row>
    <row r="48" spans="1:34" ht="14.25" customHeight="1" thickBot="1">
      <c r="A48" s="53"/>
      <c r="B48" s="54" t="s">
        <v>136</v>
      </c>
      <c r="C48" s="55"/>
      <c r="D48" s="55">
        <v>1</v>
      </c>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row>
    <row r="49" spans="1:34" ht="14.25" customHeight="1" thickBot="1">
      <c r="A49" s="116" t="s">
        <v>145</v>
      </c>
      <c r="B49" s="117"/>
      <c r="C49" s="66"/>
      <c r="D49" s="66"/>
      <c r="E49" s="67">
        <f>IFERROR(+(D43*E43)+(D44*E44)+(D45*E45)+(D46*E46)+(D47*E47)+(D48*E48),"")</f>
        <v>0</v>
      </c>
      <c r="F49" s="67">
        <f>IFERROR(+(D43*F43)+(D44*F44)+(D45*F45)+(D46*F46)+(D47*F47)+(D48*F48),"")</f>
        <v>0</v>
      </c>
      <c r="G49" s="67">
        <f>IFERROR(+(D43*G43)+(D44*G44)+(D45*G45)+(D46*G46)+(D47*G47)+(D48*G48),"")</f>
        <v>0</v>
      </c>
      <c r="H49" s="67">
        <f>IFERROR(+(D43*H43)+(D44*H44)+(D45*H45)+(D46*H46)+(D47*H47)+(D48*H48),"")</f>
        <v>0</v>
      </c>
      <c r="I49" s="67">
        <f>IFERROR(+(D43*I43)+(D44*I44)+(D45*I45)+(D46*I46)+(D47*I47)+(D48*I48),"")</f>
        <v>0</v>
      </c>
      <c r="J49" s="67">
        <f>IFERROR(+(D43*J43)+(D44*J44)+(D45*J45)+(D46*J46)+(D47*J47)+(D48*J48),"")</f>
        <v>0</v>
      </c>
      <c r="K49" s="67">
        <f>IFERROR(+(D43*K43)+(D44*K44)+(D45*K45)+(D46*K46)+(D47*K47)+(D48*K48),"")</f>
        <v>0</v>
      </c>
      <c r="L49" s="67">
        <f>IFERROR(+(D43*L43)+(D44*L44)+(D45*L45)+(D46*L46)+(D47*L47)+(D48*L48),"")</f>
        <v>0</v>
      </c>
      <c r="M49" s="67">
        <f>IFERROR(+(D43*M43)+(D44*M44)+(D45*M45)+(D46*M46)+(D47*M47)+(D48*M48),"")</f>
        <v>0</v>
      </c>
      <c r="N49" s="67">
        <f>IFERROR(+(D43*N43)+(D44*N44)+(D45*N45)+(D46*N46)+(D47*N47)+(D48*N48),"")</f>
        <v>0</v>
      </c>
      <c r="O49" s="67">
        <f>IFERROR(+(D43*O43)+(D44*O44)+(D45*O45)+(D46*O46)+(D47*O47)+(D48*O48),"")</f>
        <v>0</v>
      </c>
      <c r="P49" s="67">
        <f>IFERROR(+(D43*P43)+(D44*P44)+(D45*P45)+(D46*P46)+(D47*P47)+(D48*P48),"")</f>
        <v>0</v>
      </c>
      <c r="Q49" s="67">
        <f>IFERROR(+(D43*Q43)+(D44*Q44)+(D45*Q45)+(D46*Q46)+(D47*Q47)+(D48*Q48),"")</f>
        <v>0</v>
      </c>
      <c r="R49" s="67">
        <f>IFERROR(+(D43*R43)+(D44*R44)+(D45*R45)+(D46*R46)+(D47*R47)+(D48*R48),"")</f>
        <v>0</v>
      </c>
      <c r="S49" s="67">
        <f>IFERROR(+(D43*S43)+(D44*S44)+(D45*S45)+(D46*S46)+(D47*S47)+(D48*S48),"")</f>
        <v>0</v>
      </c>
      <c r="T49" s="67">
        <f>IFERROR(+(D43*T43)+(D44*T44)+(D45*T45)+(D46*T46)+(D47*T47)+(D48*T48),"")</f>
        <v>0</v>
      </c>
      <c r="U49" s="67">
        <f>IFERROR(+(D43*U43)+(D44*U44)+(D45*U45)+(D46*U46)+(D47*U47)+(D48*U48),"")</f>
        <v>0</v>
      </c>
      <c r="V49" s="67">
        <f>IFERROR(+(D43*V43)+(D44*V44)+(D45*V45)+(D46*V46)+(D47*V47)+(D48*V48),"")</f>
        <v>0</v>
      </c>
      <c r="W49" s="67">
        <f>IFERROR(+(D43*W43)+(D44*W44)+(D45*W45)+(D46*W46)+(D47*W47)+(D48*W48),"")</f>
        <v>0</v>
      </c>
      <c r="X49" s="67">
        <f>IFERROR(+(D43*X43)+(D44*X44)+(D45*X45)+(D46*X46)+(D47*X47)+(D48*X48),"")</f>
        <v>0</v>
      </c>
      <c r="Y49" s="67">
        <f>IFERROR(+(D43*Y43)+(D44*Y44)+(D45*Y45)+(D46*Y46)+(D47*Y47)+(D48*Y48),"")</f>
        <v>0</v>
      </c>
      <c r="Z49" s="67">
        <f>IFERROR(+(D43*Z43)+(D44*Z44)+(D45*Z45)+(D46*Z46)+(D47*Z47)+(D48*Z48),"")</f>
        <v>0</v>
      </c>
      <c r="AA49" s="67">
        <f>IFERROR(+(D43*AA43)+(D44*AA44)+(D45*AA45)+(D46*AA46)+(D47*AA47)+(D48*AA48),"")</f>
        <v>0</v>
      </c>
      <c r="AB49" s="67">
        <f>IFERROR(+(D43*AB43)+(D44*AB44)+(D45*AB45)+(D46*AB46)+(D47*AB47)+(D48*AB48),"")</f>
        <v>0</v>
      </c>
      <c r="AC49" s="67">
        <f>IFERROR(+(D43*AC43)+(D44*AC44)+(D45*AC45)+(D46*AC46)+(D47*AC47)+(D48*AC48),"")</f>
        <v>0</v>
      </c>
      <c r="AD49" s="67">
        <f>IFERROR(+(D43*AD43)+(D44*AD44)+(D45*AD45)+(D46*AD46)+(D47*AD47)+(D48*AD48),"")</f>
        <v>0</v>
      </c>
      <c r="AE49" s="67">
        <f>IFERROR(+(D43*AE43)+(D44*AE44)+(D45*AE45)+(D46*AE46)+(D47*AE47)+(D48*AE48),"")</f>
        <v>0</v>
      </c>
      <c r="AF49" s="67">
        <f>IFERROR(+(D43*AF43)+(D44*AF44)+(D45*AF45)+(D46*AF46)+(D47*AF47)+(D48*AF48),"")</f>
        <v>0</v>
      </c>
      <c r="AG49" s="67">
        <f>IFERROR(+(D43*AG43)+(D44*AG44)+(D45*AG45)+(D46*AG46)+(D47*AG47)+(D48*AG48),"")</f>
        <v>0</v>
      </c>
      <c r="AH49" s="67">
        <f>IFERROR(+(D43*AH43)+(D44*AH44)+(D45*AH45)+(D46*AH46)+(D47*AH47)+(D48*AH48),"")</f>
        <v>0</v>
      </c>
    </row>
    <row r="50" spans="1:34" ht="14.25" customHeight="1" thickBot="1">
      <c r="A50" s="56" t="str">
        <f>"Victim "&amp;'Factor Sheet'!A30&amp;" "&amp;'Factor Sheet'!B30</f>
        <v>Victim 5 Injured Swimmer</v>
      </c>
      <c r="B50" s="57" t="s">
        <v>137</v>
      </c>
      <c r="C50" s="58"/>
      <c r="D50" s="58">
        <f>+'Factor Sheet'!C30</f>
        <v>1</v>
      </c>
      <c r="E50" s="75"/>
      <c r="F50" s="75"/>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row>
    <row r="51" spans="1:34" ht="14.25" customHeight="1" thickBot="1">
      <c r="A51" s="50"/>
      <c r="B51" s="51" t="s">
        <v>48</v>
      </c>
      <c r="C51" s="52"/>
      <c r="D51" s="52">
        <f>+'Factor Sheet'!D30</f>
        <v>1.25</v>
      </c>
      <c r="E51" s="75"/>
      <c r="F51" s="75"/>
      <c r="G51" s="75"/>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row>
    <row r="52" spans="1:34" ht="14.25" customHeight="1" thickBot="1">
      <c r="A52" s="50"/>
      <c r="B52" s="51" t="s">
        <v>138</v>
      </c>
      <c r="C52" s="52"/>
      <c r="D52" s="52">
        <f>+'Factor Sheet'!E30</f>
        <v>1</v>
      </c>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row>
    <row r="53" spans="1:34" ht="14.25" customHeight="1" thickBot="1">
      <c r="A53" s="50"/>
      <c r="B53" s="51" t="s">
        <v>50</v>
      </c>
      <c r="C53" s="52"/>
      <c r="D53" s="52">
        <f>+'Factor Sheet'!F30</f>
        <v>1.25</v>
      </c>
      <c r="E53" s="75"/>
      <c r="F53" s="75"/>
      <c r="G53" s="75"/>
      <c r="H53" s="75"/>
      <c r="I53" s="75"/>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row>
    <row r="54" spans="1:34" ht="14.25" customHeight="1" thickBot="1">
      <c r="A54" s="50"/>
      <c r="B54" s="51" t="s">
        <v>139</v>
      </c>
      <c r="C54" s="52"/>
      <c r="D54" s="52">
        <f>+'Factor Sheet'!G30</f>
        <v>1.25</v>
      </c>
      <c r="E54" s="75"/>
      <c r="F54" s="75"/>
      <c r="G54" s="75"/>
      <c r="H54" s="75"/>
      <c r="I54" s="75"/>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row>
    <row r="55" spans="1:34" ht="14.25" customHeight="1" thickBot="1">
      <c r="A55" s="53"/>
      <c r="B55" s="54" t="s">
        <v>136</v>
      </c>
      <c r="C55" s="55"/>
      <c r="D55" s="55">
        <v>1</v>
      </c>
      <c r="E55" s="75"/>
      <c r="F55" s="75"/>
      <c r="G55" s="75"/>
      <c r="H55" s="75"/>
      <c r="I55" s="75"/>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row>
    <row r="56" spans="1:34" ht="14.25" customHeight="1" thickBot="1">
      <c r="A56" s="116" t="s">
        <v>145</v>
      </c>
      <c r="B56" s="117"/>
      <c r="C56" s="66"/>
      <c r="D56" s="66"/>
      <c r="E56" s="67">
        <f>IFERROR(+(D50*E50)+(D51*E51)+(D52*E52)+(D53*E53)+(D54*E54)+(D55*E55),"")</f>
        <v>0</v>
      </c>
      <c r="F56" s="67">
        <f>IFERROR(+(D50*F50)+(D51*F51)+(D52*F52)+(D53*F53)+(D54*F54)+(D55*F55),"")</f>
        <v>0</v>
      </c>
      <c r="G56" s="67">
        <f>IFERROR(+(D50*G50)+(D51*G51)+(D52*G52)+(D53*G53)+(D54*G54)+(D55*G55),"")</f>
        <v>0</v>
      </c>
      <c r="H56" s="67">
        <f>IFERROR(+(D50*H50)+(D51*H51)+(D52*H52)+(D53*H53)+(D54*H54)+(D55*H55),"")</f>
        <v>0</v>
      </c>
      <c r="I56" s="67">
        <f>IFERROR(+(D50*I50)+(D51*I51)+(D52*I52)+(D53*I53)+(D54*I54)+(D55*I55),"")</f>
        <v>0</v>
      </c>
      <c r="J56" s="67">
        <f>IFERROR(+(D50*J50)+(D51*J51)+(D52*J52)+(D53*J53)+(D54*J54)+(D55*J55),"")</f>
        <v>0</v>
      </c>
      <c r="K56" s="67">
        <f>IFERROR(+(D50*K50)+(D51*K51)+(D52*K52)+(D53*K53)+(D54*K54)+(D55*K55),"")</f>
        <v>0</v>
      </c>
      <c r="L56" s="67">
        <f>IFERROR(+(D50*L50)+(D51*L51)+(D52*L52)+(D53*L53)+(D54*L54)+(D55*L55),"")</f>
        <v>0</v>
      </c>
      <c r="M56" s="67">
        <f>IFERROR(+(D50*M50)+(D51*M51)+(D52*M52)+(D53*M53)+(D54*M54)+(D55*M55),"")</f>
        <v>0</v>
      </c>
      <c r="N56" s="67">
        <f>IFERROR(+(D50*N50)+(D51*N51)+(D52*N52)+(D53*N53)+(D54*N54)+(D55*N55),"")</f>
        <v>0</v>
      </c>
      <c r="O56" s="67">
        <f>IFERROR(+(D50*O50)+(D51*O51)+(D52*O52)+(D53*O53)+(D54*O54)+(D55*O55),"")</f>
        <v>0</v>
      </c>
      <c r="P56" s="67">
        <f>IFERROR(+(D50*P50)+(D51*P51)+(D52*P52)+(D53*P53)+(D54*P54)+(D55*P55),"")</f>
        <v>0</v>
      </c>
      <c r="Q56" s="67">
        <f>IFERROR(+(D50*Q50)+(D51*Q51)+(D52*Q52)+(D53*Q53)+(D54*Q54)+(D55*Q55),"")</f>
        <v>0</v>
      </c>
      <c r="R56" s="67">
        <f>IFERROR(+(D50*R50)+(D51*R51)+(D52*R52)+(D53*R53)+(D54*R54)+(D55*R55),"")</f>
        <v>0</v>
      </c>
      <c r="S56" s="67">
        <f>IFERROR(+(D50*S50)+(D51*S51)+(D52*S52)+(D53*S53)+(D54*S54)+(D55*S55),"")</f>
        <v>0</v>
      </c>
      <c r="T56" s="67">
        <f>IFERROR(+(D50*T50)+(D51*T51)+(D52*T52)+(D53*T53)+(D54*T54)+(D55*T55),"")</f>
        <v>0</v>
      </c>
      <c r="U56" s="67">
        <f>IFERROR(+(D50*U50)+(D51*U51)+(D52*U52)+(D53*U53)+(D54*U54)+(D55*U55),"")</f>
        <v>0</v>
      </c>
      <c r="V56" s="67">
        <f>IFERROR(+(D50*V50)+(D51*V51)+(D52*V52)+(D53*V53)+(D54*V54)+(D55*V55),"")</f>
        <v>0</v>
      </c>
      <c r="W56" s="67">
        <f>IFERROR(+(D50*W50)+(D51*W51)+(D52*W52)+(D53*W53)+(D54*W54)+(D55*W55),"")</f>
        <v>0</v>
      </c>
      <c r="X56" s="67">
        <f>IFERROR(+(D50*X50)+(D51*X51)+(D52*X52)+(D53*X53)+(D54*X54)+(D55*X55),"")</f>
        <v>0</v>
      </c>
      <c r="Y56" s="67">
        <f>IFERROR(+(D50*Y50)+(D51*Y51)+(D52*Y52)+(D53*Y53)+(D54*Y54)+(D55*Y55),"")</f>
        <v>0</v>
      </c>
      <c r="Z56" s="67">
        <f>IFERROR(+(D50*Z50)+(D51*Z51)+(D52*Z52)+(D53*Z53)+(D54*Z54)+(D55*Z55),"")</f>
        <v>0</v>
      </c>
      <c r="AA56" s="67">
        <f>IFERROR(+(D50*AA50)+(D51*AA51)+(D52*AA52)+(D53*AA53)+(D54*AA54)+(D55*AA55),"")</f>
        <v>0</v>
      </c>
      <c r="AB56" s="67">
        <f>IFERROR(+(D50*AB50)+(D51*AB51)+(D52*AB52)+(D53*AB53)+(D54*AB54)+(D55*AB55),"")</f>
        <v>0</v>
      </c>
      <c r="AC56" s="67">
        <f>IFERROR(+(D50*AC50)+(D51*AC51)+(D52*AC52)+(D53*AC53)+(D54*AC54)+(D55*AC55),"")</f>
        <v>0</v>
      </c>
      <c r="AD56" s="67">
        <f>IFERROR(+(D50*AD50)+(D51*AD51)+(D52*AD52)+(D53*AD53)+(D54*AD54)+(D55*AD55),"")</f>
        <v>0</v>
      </c>
      <c r="AE56" s="67">
        <f>IFERROR(+(D50*AE50)+(D51*AE51)+(D52*AE52)+(D53*AE53)+(D54*AE54)+(D55*AE55),"")</f>
        <v>0</v>
      </c>
      <c r="AF56" s="67">
        <f>IFERROR(+(D50*AF50)+(D51*AF51)+(D52*AF52)+(D53*AF53)+(D54*AF54)+(D55*AF55),"")</f>
        <v>0</v>
      </c>
      <c r="AG56" s="67">
        <f>IFERROR(+(D50*AG50)+(D51*AG51)+(D52*AG52)+(D53*AG53)+(D54*AG54)+(D55*AG55),"")</f>
        <v>0</v>
      </c>
      <c r="AH56" s="67">
        <f>IFERROR(+(D50*AH50)+(D51*AH51)+(D52*AH52)+(D53*AH53)+(D54*AH54)+(D55*AH55),"")</f>
        <v>0</v>
      </c>
    </row>
    <row r="57" spans="1:34" ht="14.25" customHeight="1" thickBot="1">
      <c r="A57" s="56" t="str">
        <f>"Victim "&amp;'Factor Sheet'!A31&amp;" "&amp;'Factor Sheet'!B31</f>
        <v>Victim 6 Injured Swimmer</v>
      </c>
      <c r="B57" s="57" t="s">
        <v>137</v>
      </c>
      <c r="C57" s="58"/>
      <c r="D57" s="58">
        <f>+'Factor Sheet'!C31</f>
        <v>1</v>
      </c>
      <c r="E57" s="75"/>
      <c r="F57" s="75"/>
      <c r="G57" s="75"/>
      <c r="H57" s="75"/>
      <c r="I57" s="75"/>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row>
    <row r="58" spans="1:34" ht="14.25" customHeight="1" thickBot="1">
      <c r="A58" s="50"/>
      <c r="B58" s="51" t="s">
        <v>48</v>
      </c>
      <c r="C58" s="52"/>
      <c r="D58" s="52">
        <f>+'Factor Sheet'!D31</f>
        <v>1.5</v>
      </c>
      <c r="E58" s="75"/>
      <c r="F58" s="75"/>
      <c r="G58" s="75"/>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row>
    <row r="59" spans="1:34" ht="14.25" customHeight="1" thickBot="1">
      <c r="A59" s="50"/>
      <c r="B59" s="51" t="s">
        <v>138</v>
      </c>
      <c r="C59" s="52"/>
      <c r="D59" s="52">
        <f>+'Factor Sheet'!E31</f>
        <v>1.5</v>
      </c>
      <c r="E59" s="75"/>
      <c r="F59" s="75"/>
      <c r="G59" s="75"/>
      <c r="H59" s="75"/>
      <c r="I59" s="75"/>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row>
    <row r="60" spans="1:34" ht="14.25" customHeight="1" thickBot="1">
      <c r="A60" s="50"/>
      <c r="B60" s="51" t="s">
        <v>50</v>
      </c>
      <c r="C60" s="52"/>
      <c r="D60" s="52">
        <f>+'Factor Sheet'!F31</f>
        <v>1.25</v>
      </c>
      <c r="E60" s="75"/>
      <c r="F60" s="75"/>
      <c r="G60" s="75"/>
      <c r="H60" s="75"/>
      <c r="I60" s="75"/>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row>
    <row r="61" spans="1:34" ht="14.25" customHeight="1" thickBot="1">
      <c r="A61" s="50"/>
      <c r="B61" s="51" t="s">
        <v>139</v>
      </c>
      <c r="C61" s="52"/>
      <c r="D61" s="52">
        <f>+'Factor Sheet'!G31</f>
        <v>1.25</v>
      </c>
      <c r="E61" s="75"/>
      <c r="F61" s="75"/>
      <c r="G61" s="75"/>
      <c r="H61" s="75"/>
      <c r="I61" s="75"/>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row>
    <row r="62" spans="1:34" ht="14.25" customHeight="1" thickBot="1">
      <c r="A62" s="53"/>
      <c r="B62" s="54" t="s">
        <v>136</v>
      </c>
      <c r="C62" s="55"/>
      <c r="D62" s="55">
        <v>1</v>
      </c>
      <c r="E62" s="75"/>
      <c r="F62" s="75"/>
      <c r="G62" s="75"/>
      <c r="H62" s="75"/>
      <c r="I62" s="75"/>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row>
    <row r="63" spans="1:34" ht="14.25" customHeight="1" thickBot="1">
      <c r="A63" s="116" t="s">
        <v>145</v>
      </c>
      <c r="B63" s="117"/>
      <c r="C63" s="66"/>
      <c r="D63" s="66"/>
      <c r="E63" s="67">
        <f>IFERROR(+(D57*E57)+(D58*E58)+(D59*E59)+(D60*E60)+(D61*E61)+(D62*E62),"")</f>
        <v>0</v>
      </c>
      <c r="F63" s="67">
        <f>IFERROR(+(D57*F57)+(D58*F58)+(D59*F59)+(D60*F60)+(D61*F61)+(D62*F62),"")</f>
        <v>0</v>
      </c>
      <c r="G63" s="67">
        <f>IFERROR(+(D57*G57)+(D58*G58)+(D59*G59)+(D60*G60)+(D61*G61)+(D62*G62),"")</f>
        <v>0</v>
      </c>
      <c r="H63" s="67">
        <f>IFERROR(+(D57*H57)+(D58*H58)+(D59*H59)+(D60*H60)+(D61*H61)+(D62*H62),"")</f>
        <v>0</v>
      </c>
      <c r="I63" s="67">
        <f>IFERROR(+(D57*I57)+(D58*I58)+(D59*I59)+(D60*I60)+(D61*I61)+(D62*I62),"")</f>
        <v>0</v>
      </c>
      <c r="J63" s="67">
        <f>IFERROR(+(D57*J57)+(D58*J58)+(D59*J59)+(D60*J60)+(D61*J61)+(D62*J62),"")</f>
        <v>0</v>
      </c>
      <c r="K63" s="67">
        <f>IFERROR(+(D57*K57)+(D58*K58)+(D59*K59)+(D60*K60)+(D61*K61)+(D62*K62),"")</f>
        <v>0</v>
      </c>
      <c r="L63" s="67">
        <f>IFERROR(+(D57*L57)+(D58*L58)+(D59*L59)+(D60*L60)+(D61*L61)+(D62*L62),"")</f>
        <v>0</v>
      </c>
      <c r="M63" s="67">
        <f>IFERROR(+(D57*M57)+(D58*M58)+(D59*M59)+(D60*M60)+(D61*M61)+(D62*M62),"")</f>
        <v>0</v>
      </c>
      <c r="N63" s="67">
        <f>IFERROR(+(D57*N57)+(D58*N58)+(D59*N59)+(D60*N60)+(D61*N61)+(D62*N62),"")</f>
        <v>0</v>
      </c>
      <c r="O63" s="67">
        <f>IFERROR(+(D57*O57)+(D58*O58)+(D59*O59)+(D60*O60)+(D61*O61)+(D62*O62),"")</f>
        <v>0</v>
      </c>
      <c r="P63" s="67">
        <f>IFERROR(+(D57*P57)+(D58*P58)+(D59*P59)+(D60*P60)+(D61*P61)+(D62*P62),"")</f>
        <v>0</v>
      </c>
      <c r="Q63" s="67">
        <f>IFERROR(+(D57*Q57)+(D58*Q58)+(D59*Q59)+(D60*Q60)+(D61*Q61)+(D62*Q62),"")</f>
        <v>0</v>
      </c>
      <c r="R63" s="67">
        <f>IFERROR(+(D57*R57)+(D58*R58)+(D59*R59)+(D60*R60)+(D61*R61)+(D62*R62),"")</f>
        <v>0</v>
      </c>
      <c r="S63" s="67">
        <f>IFERROR(+(D57*S57)+(D58*S58)+(D59*S59)+(D60*S60)+(D61*S61)+(D62*S62),"")</f>
        <v>0</v>
      </c>
      <c r="T63" s="67">
        <f>IFERROR(+(D57*T57)+(D58*T58)+(D59*T59)+(D60*T60)+(D61*T61)+(D62*T62),"")</f>
        <v>0</v>
      </c>
      <c r="U63" s="67">
        <f>IFERROR(+(D57*U57)+(D58*U58)+(D59*U59)+(D60*U60)+(D61*U61)+(D62*U62),"")</f>
        <v>0</v>
      </c>
      <c r="V63" s="67">
        <f>IFERROR(+(D57*V57)+(D58*V58)+(D59*V59)+(D60*V60)+(D61*V61)+(D62*V62),"")</f>
        <v>0</v>
      </c>
      <c r="W63" s="67">
        <f>IFERROR(+(D57*W57)+(D58*W58)+(D59*W59)+(D60*W60)+(D61*W61)+(D62*W62),"")</f>
        <v>0</v>
      </c>
      <c r="X63" s="67">
        <f>IFERROR(+(D57*X57)+(D58*X58)+(D59*X59)+(D60*X60)+(D61*X61)+(D62*X62),"")</f>
        <v>0</v>
      </c>
      <c r="Y63" s="67">
        <f>IFERROR(+(D57*Y57)+(D58*Y58)+(D59*Y59)+(D60*Y60)+(D61*Y61)+(D62*Y62),"")</f>
        <v>0</v>
      </c>
      <c r="Z63" s="67">
        <f>IFERROR(+(D57*Z57)+(D58*Z58)+(D59*Z59)+(D60*Z60)+(D61*Z61)+(D62*Z62),"")</f>
        <v>0</v>
      </c>
      <c r="AA63" s="67">
        <f>IFERROR(+(D57*AA57)+(D58*AA58)+(D59*AA59)+(D60*AA60)+(D61*AA61)+(D62*AA62),"")</f>
        <v>0</v>
      </c>
      <c r="AB63" s="67">
        <f>IFERROR(+(D57*AB57)+(D58*AB58)+(D59*AB59)+(D60*AB60)+(D61*AB61)+(D62*AB62),"")</f>
        <v>0</v>
      </c>
      <c r="AC63" s="67">
        <f>IFERROR(+(D57*AC57)+(D58*AC58)+(D59*AC59)+(D60*AC60)+(D61*AC61)+(D62*AC62),"")</f>
        <v>0</v>
      </c>
      <c r="AD63" s="67">
        <f>IFERROR(+(D57*AD57)+(D58*AD58)+(D59*AD59)+(D60*AD60)+(D61*AD61)+(D62*AD62),"")</f>
        <v>0</v>
      </c>
      <c r="AE63" s="67">
        <f>IFERROR(+(D57*AE57)+(D58*AE58)+(D59*AE59)+(D60*AE60)+(D61*AE61)+(D62*AE62),"")</f>
        <v>0</v>
      </c>
      <c r="AF63" s="67">
        <f>IFERROR(+(D57*AF57)+(D58*AF58)+(D59*AF59)+(D60*AF60)+(D61*AF61)+(D62*AF62),"")</f>
        <v>0</v>
      </c>
      <c r="AG63" s="67">
        <f>IFERROR(+(D57*AG57)+(D58*AG58)+(D59*AG59)+(D60*AG60)+(D61*AG61)+(D62*AG62),"")</f>
        <v>0</v>
      </c>
      <c r="AH63" s="67">
        <f>IFERROR(+(D57*AH57)+(D58*AH58)+(D59*AH59)+(D60*AH60)+(D61*AH61)+(D62*AH62),"")</f>
        <v>0</v>
      </c>
    </row>
    <row r="64" spans="1:34" ht="14.25" customHeight="1" thickBot="1">
      <c r="A64" s="56" t="str">
        <f>"Victim "&amp;'Factor Sheet'!A32&amp;" "&amp;'Factor Sheet'!B32</f>
        <v>Victim 7 Injured Swimmer</v>
      </c>
      <c r="B64" s="57" t="s">
        <v>137</v>
      </c>
      <c r="C64" s="58"/>
      <c r="D64" s="58">
        <f>+'Factor Sheet'!C32</f>
        <v>1.5</v>
      </c>
      <c r="E64" s="75"/>
      <c r="F64" s="75"/>
      <c r="G64" s="75"/>
      <c r="H64" s="75"/>
      <c r="I64" s="75"/>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row>
    <row r="65" spans="1:34" ht="14.25" customHeight="1" thickBot="1">
      <c r="A65" s="50"/>
      <c r="B65" s="51" t="s">
        <v>48</v>
      </c>
      <c r="C65" s="52"/>
      <c r="D65" s="52">
        <f>+'Factor Sheet'!D32</f>
        <v>1</v>
      </c>
      <c r="E65" s="75"/>
      <c r="F65" s="75"/>
      <c r="G65" s="75"/>
      <c r="H65" s="75"/>
      <c r="I65" s="75"/>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row>
    <row r="66" spans="1:34" ht="14.25" customHeight="1" thickBot="1">
      <c r="A66" s="50"/>
      <c r="B66" s="51" t="s">
        <v>138</v>
      </c>
      <c r="C66" s="52"/>
      <c r="D66" s="52">
        <f>+'Factor Sheet'!E32</f>
        <v>1</v>
      </c>
      <c r="E66" s="75"/>
      <c r="F66" s="75"/>
      <c r="G66" s="75"/>
      <c r="H66" s="75"/>
      <c r="I66" s="75"/>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row>
    <row r="67" spans="1:34" ht="14.25" customHeight="1" thickBot="1">
      <c r="A67" s="50"/>
      <c r="B67" s="51" t="s">
        <v>50</v>
      </c>
      <c r="C67" s="52"/>
      <c r="D67" s="52">
        <f>+'Factor Sheet'!F32</f>
        <v>1.25</v>
      </c>
      <c r="E67" s="75"/>
      <c r="F67" s="75"/>
      <c r="G67" s="75"/>
      <c r="H67" s="75"/>
      <c r="I67" s="75"/>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row>
    <row r="68" spans="1:34" ht="14.25" customHeight="1" thickBot="1">
      <c r="A68" s="50"/>
      <c r="B68" s="51" t="s">
        <v>139</v>
      </c>
      <c r="C68" s="52"/>
      <c r="D68" s="52">
        <f>+'Factor Sheet'!G32</f>
        <v>1.25</v>
      </c>
      <c r="E68" s="75"/>
      <c r="F68" s="75"/>
      <c r="G68" s="75"/>
      <c r="H68" s="75"/>
      <c r="I68" s="75"/>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row>
    <row r="69" spans="1:34" ht="14.25" customHeight="1" thickBot="1">
      <c r="A69" s="53"/>
      <c r="B69" s="54" t="s">
        <v>136</v>
      </c>
      <c r="C69" s="55"/>
      <c r="D69" s="55">
        <v>1</v>
      </c>
      <c r="E69" s="75"/>
      <c r="F69" s="75"/>
      <c r="G69" s="75"/>
      <c r="H69" s="75"/>
      <c r="I69" s="75"/>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row>
    <row r="70" spans="1:34" ht="14.25" customHeight="1" thickBot="1">
      <c r="A70" s="116" t="s">
        <v>145</v>
      </c>
      <c r="B70" s="117"/>
      <c r="C70" s="66"/>
      <c r="D70" s="66"/>
      <c r="E70" s="67">
        <f>IFERROR(+(D64*E64)+(D65*E65)+(D66*E66)+(D67*E67)+(D68*E68)+(D69*E69),"")</f>
        <v>0</v>
      </c>
      <c r="F70" s="67">
        <f>IFERROR(+(D64*F64)+(D65*F65)+(D66*F66)+(D67*F67)+(D68*F68)+(D69*F69),"")</f>
        <v>0</v>
      </c>
      <c r="G70" s="67">
        <f>IFERROR(+(D64*G64)+(D65*G65)+(D66*G66)+(D67*G67)+(D68*G68)+(D69*G69),"")</f>
        <v>0</v>
      </c>
      <c r="H70" s="67">
        <f>IFERROR(+(D64*H64)+(D65*H65)+(D66*H66)+(D67*H67)+(D68*H68)+(D69*H69),"")</f>
        <v>0</v>
      </c>
      <c r="I70" s="67">
        <f>IFERROR(+(D64*I64)+(D65*I65)+(D66*I66)+(D67*I67)+(D68*I68)+(D69*I69),"")</f>
        <v>0</v>
      </c>
      <c r="J70" s="67">
        <f>IFERROR(+(D64*J64)+(D65*J65)+(D66*J66)+(D67*J67)+(D68*J68)+(D69*J69),"")</f>
        <v>0</v>
      </c>
      <c r="K70" s="67">
        <f>IFERROR(+(D64*K64)+(D65*K65)+(D66*K66)+(D67*K67)+(D68*K68)+(D69*K69),"")</f>
        <v>0</v>
      </c>
      <c r="L70" s="67">
        <f>IFERROR(+(D64*L64)+(D65*L65)+(D66*L66)+(D67*L67)+(D68*L68)+(D69*L69),"")</f>
        <v>0</v>
      </c>
      <c r="M70" s="67">
        <f>IFERROR(+(D64*M64)+(D65*M65)+(D66*M66)+(D67*M67)+(D68*M68)+(D69*M69),"")</f>
        <v>0</v>
      </c>
      <c r="N70" s="67">
        <f>IFERROR(+(D64*N64)+(D65*N65)+(D66*N66)+(D67*N67)+(D68*N68)+(D69*N69),"")</f>
        <v>0</v>
      </c>
      <c r="O70" s="67">
        <f>IFERROR(+(D64*O64)+(D65*O65)+(D66*O66)+(D67*O67)+(D68*O68)+(D69*O69),"")</f>
        <v>0</v>
      </c>
      <c r="P70" s="67">
        <f>IFERROR(+(D64*P64)+(D65*P65)+(D66*P66)+(D67*P67)+(D68*P68)+(D69*P69),"")</f>
        <v>0</v>
      </c>
      <c r="Q70" s="67">
        <f>IFERROR(+(D64*Q64)+(D65*Q65)+(D66*Q66)+(D67*Q67)+(D68*Q68)+(D69*Q69),"")</f>
        <v>0</v>
      </c>
      <c r="R70" s="67">
        <f>IFERROR(+(D64*R64)+(D65*R65)+(D66*R66)+(D67*R67)+(D68*R68)+(D69*R69),"")</f>
        <v>0</v>
      </c>
      <c r="S70" s="67">
        <f>IFERROR(+(D64*S64)+(D65*S65)+(D66*S66)+(D67*S67)+(D68*S68)+(D69*S69),"")</f>
        <v>0</v>
      </c>
      <c r="T70" s="67">
        <f>IFERROR(+(D64*T64)+(D65*T65)+(D66*T66)+(D67*T67)+(D68*T68)+(D69*T69),"")</f>
        <v>0</v>
      </c>
      <c r="U70" s="67">
        <f>IFERROR(+(D64*U64)+(D65*U65)+(D66*U66)+(D67*U67)+(D68*U68)+(D69*U69),"")</f>
        <v>0</v>
      </c>
      <c r="V70" s="67">
        <f>IFERROR(+(D64*V64)+(D65*V65)+(D66*V66)+(D67*V67)+(D68*V68)+(D69*V69),"")</f>
        <v>0</v>
      </c>
      <c r="W70" s="67">
        <f>IFERROR(+(D64*W64)+(D65*W65)+(D66*W66)+(D67*W67)+(D68*W68)+(D69*W69),"")</f>
        <v>0</v>
      </c>
      <c r="X70" s="67">
        <f>IFERROR(+(D64*X64)+(D65*X65)+(D66*X66)+(D67*X67)+(D68*X68)+(D69*X69),"")</f>
        <v>0</v>
      </c>
      <c r="Y70" s="67">
        <f>IFERROR(+(D64*Y64)+(D65*Y65)+(D66*Y66)+(D67*Y67)+(D68*Y68)+(D69*Y69),"")</f>
        <v>0</v>
      </c>
      <c r="Z70" s="67">
        <f>IFERROR(+(D64*Z64)+(D65*Z65)+(D66*Z66)+(D67*Z67)+(D68*Z68)+(D69*Z69),"")</f>
        <v>0</v>
      </c>
      <c r="AA70" s="67">
        <f>IFERROR(+(D64*AA64)+(D65*AA65)+(D66*AA66)+(D67*AA67)+(D68*AA68)+(D69*AA69),"")</f>
        <v>0</v>
      </c>
      <c r="AB70" s="67">
        <f>IFERROR(+(D64*AB64)+(D65*AB65)+(D66*AB66)+(D67*AB67)+(D68*AB68)+(D69*AB69),"")</f>
        <v>0</v>
      </c>
      <c r="AC70" s="67">
        <f>IFERROR(+(D64*AC64)+(D65*AC65)+(D66*AC66)+(D67*AC67)+(D68*AC68)+(D69*AC69),"")</f>
        <v>0</v>
      </c>
      <c r="AD70" s="67">
        <f>IFERROR(+(D64*AD64)+(D65*AD65)+(D66*AD66)+(D67*AD67)+(D68*AD68)+(D69*AD69),"")</f>
        <v>0</v>
      </c>
      <c r="AE70" s="67">
        <f>IFERROR(+(D64*AE64)+(D65*AE65)+(D66*AE66)+(D67*AE67)+(D68*AE68)+(D69*AE69),"")</f>
        <v>0</v>
      </c>
      <c r="AF70" s="67">
        <f>IFERROR(+(D64*AF64)+(D65*AF65)+(D66*AF66)+(D67*AF67)+(D68*AF68)+(D69*AF69),"")</f>
        <v>0</v>
      </c>
      <c r="AG70" s="67">
        <f>IFERROR(+(D64*AG64)+(D65*AG65)+(D66*AG66)+(D67*AG67)+(D68*AG68)+(D69*AG69),"")</f>
        <v>0</v>
      </c>
      <c r="AH70" s="67">
        <f>IFERROR(+(D64*AH64)+(D65*AH65)+(D66*AH66)+(D67*AH67)+(D68*AH68)+(D69*AH69),"")</f>
        <v>0</v>
      </c>
    </row>
    <row r="71" spans="1:34" ht="14.25" customHeight="1" thickBot="1">
      <c r="A71" s="56" t="str">
        <f>"Victim "&amp;'Factor Sheet'!A33&amp;" "&amp;'Factor Sheet'!B33</f>
        <v>Victim 8 Injured Swimmer</v>
      </c>
      <c r="B71" s="57" t="s">
        <v>137</v>
      </c>
      <c r="C71" s="58"/>
      <c r="D71" s="58">
        <f>+'Factor Sheet'!C33</f>
        <v>1.25</v>
      </c>
      <c r="E71" s="75"/>
      <c r="F71" s="75"/>
      <c r="G71" s="75"/>
      <c r="H71" s="75"/>
      <c r="I71" s="75"/>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row>
    <row r="72" spans="1:34" ht="14.25" customHeight="1" thickBot="1">
      <c r="A72" s="50"/>
      <c r="B72" s="51" t="s">
        <v>48</v>
      </c>
      <c r="C72" s="52"/>
      <c r="D72" s="52">
        <f>+'Factor Sheet'!D33</f>
        <v>1</v>
      </c>
      <c r="E72" s="75"/>
      <c r="F72" s="75"/>
      <c r="G72" s="75"/>
      <c r="H72" s="75"/>
      <c r="I72" s="75"/>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row>
    <row r="73" spans="1:34" ht="14.25" customHeight="1" thickBot="1">
      <c r="A73" s="50"/>
      <c r="B73" s="51" t="s">
        <v>138</v>
      </c>
      <c r="C73" s="52"/>
      <c r="D73" s="52">
        <f>+'Factor Sheet'!E33</f>
        <v>1</v>
      </c>
      <c r="E73" s="75"/>
      <c r="F73" s="75"/>
      <c r="G73" s="75"/>
      <c r="H73" s="75"/>
      <c r="I73" s="75"/>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row>
    <row r="74" spans="1:34" ht="14.25" customHeight="1" thickBot="1">
      <c r="A74" s="50"/>
      <c r="B74" s="51" t="s">
        <v>50</v>
      </c>
      <c r="C74" s="52"/>
      <c r="D74" s="52">
        <f>+'Factor Sheet'!F33</f>
        <v>1.25</v>
      </c>
      <c r="E74" s="75"/>
      <c r="F74" s="75"/>
      <c r="G74" s="75"/>
      <c r="H74" s="75"/>
      <c r="I74" s="75"/>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row>
    <row r="75" spans="1:34" ht="14.25" customHeight="1" thickBot="1">
      <c r="A75" s="50"/>
      <c r="B75" s="51" t="s">
        <v>139</v>
      </c>
      <c r="C75" s="52"/>
      <c r="D75" s="52">
        <f>+'Factor Sheet'!G33</f>
        <v>1.25</v>
      </c>
      <c r="E75" s="75"/>
      <c r="F75" s="75"/>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row>
    <row r="76" spans="1:34" ht="14.25" customHeight="1" thickBot="1">
      <c r="A76" s="53"/>
      <c r="B76" s="54" t="s">
        <v>136</v>
      </c>
      <c r="C76" s="55"/>
      <c r="D76" s="55">
        <v>1</v>
      </c>
      <c r="E76" s="75"/>
      <c r="F76" s="75"/>
      <c r="G76" s="75"/>
      <c r="H76" s="75"/>
      <c r="I76" s="75"/>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row>
    <row r="77" spans="1:34" ht="14.25" customHeight="1" thickBot="1">
      <c r="A77" s="116" t="s">
        <v>145</v>
      </c>
      <c r="B77" s="117"/>
      <c r="C77" s="66"/>
      <c r="D77" s="66"/>
      <c r="E77" s="67">
        <f>IFERROR(+(D71*E71)+(D72*E72)+(D73*E73)+(D74*E74)+(D75*E75)+(D76*E76),"")</f>
        <v>0</v>
      </c>
      <c r="F77" s="67">
        <f>IFERROR(+(D71*F71)+(D72*F72)+(D73*F73)+(D74*F74)+(D75*F75)+(D76*F76),"")</f>
        <v>0</v>
      </c>
      <c r="G77" s="67">
        <f>IFERROR(+(D71*G71)+(D72*G72)+(D73*G73)+(D74*G74)+(D75*G75)+(D76*G76),"")</f>
        <v>0</v>
      </c>
      <c r="H77" s="67">
        <f>IFERROR(+(D71*H71)+(D72*H72)+(D73*H73)+(D74*H74)+(D75*H75)+(D76*H76),"")</f>
        <v>0</v>
      </c>
      <c r="I77" s="67">
        <f>IFERROR(+(D71*I71)+(D72*I72)+(D73*I73)+(D74*I74)+(D75*I75)+(D76*I76),"")</f>
        <v>0</v>
      </c>
      <c r="J77" s="67">
        <f>IFERROR(+(D71*J71)+(D72*J72)+(D73*J73)+(D74*J74)+(D75*J75)+(D76*J76),"")</f>
        <v>0</v>
      </c>
      <c r="K77" s="67">
        <f>IFERROR(+(D71*K71)+(D72*K72)+(D73*K73)+(D74*K74)+(D75*K75)+(D76*K76),"")</f>
        <v>0</v>
      </c>
      <c r="L77" s="67">
        <f>IFERROR(+(D71*L71)+(D72*L72)+(D73*L73)+(D74*L74)+(D75*L75)+(D76*L76),"")</f>
        <v>0</v>
      </c>
      <c r="M77" s="67">
        <f>IFERROR(+(D71*M71)+(D72*M72)+(D73*M73)+(D74*M74)+(D75*M75)+(D76*M76),"")</f>
        <v>0</v>
      </c>
      <c r="N77" s="67">
        <f>IFERROR(+(D71*N71)+(D72*N72)+(D73*N73)+(D74*N74)+(D75*N75)+(D76*N76),"")</f>
        <v>0</v>
      </c>
      <c r="O77" s="67">
        <f>IFERROR(+(D71*O71)+(D72*O72)+(D73*O73)+(D74*O74)+(D75*O75)+(D76*O76),"")</f>
        <v>0</v>
      </c>
      <c r="P77" s="67">
        <f>IFERROR(+(D71*P71)+(D72*P72)+(D73*P73)+(D74*P74)+(D75*P75)+(D76*P76),"")</f>
        <v>0</v>
      </c>
      <c r="Q77" s="67">
        <f>IFERROR(+(D71*Q71)+(D72*Q72)+(D73*Q73)+(D74*Q74)+(D75*Q75)+(D76*Q76),"")</f>
        <v>0</v>
      </c>
      <c r="R77" s="67">
        <f>IFERROR(+(D71*R71)+(D72*R72)+(D73*R73)+(D74*R74)+(D75*R75)+(D76*R76),"")</f>
        <v>0</v>
      </c>
      <c r="S77" s="67">
        <f>IFERROR(+(D71*S71)+(D72*S72)+(D73*S73)+(D74*S74)+(D75*S75)+(D76*S76),"")</f>
        <v>0</v>
      </c>
      <c r="T77" s="67">
        <f>IFERROR(+(D71*T71)+(D72*T72)+(D73*T73)+(D74*T74)+(D75*T75)+(D76*T76),"")</f>
        <v>0</v>
      </c>
      <c r="U77" s="67">
        <f>IFERROR(+(D71*U71)+(D72*U72)+(D73*U73)+(D74*U74)+(D75*U75)+(D76*U76),"")</f>
        <v>0</v>
      </c>
      <c r="V77" s="67">
        <f>IFERROR(+(D71*V71)+(D72*V72)+(D73*V73)+(D74*V74)+(D75*V75)+(D76*V76),"")</f>
        <v>0</v>
      </c>
      <c r="W77" s="67">
        <f>IFERROR(+(D71*W71)+(D72*W72)+(D73*W73)+(D74*W74)+(D75*W75)+(D76*W76),"")</f>
        <v>0</v>
      </c>
      <c r="X77" s="67">
        <f>IFERROR(+(D71*X71)+(D72*X72)+(D73*X73)+(D74*X74)+(D75*X75)+(D76*X76),"")</f>
        <v>0</v>
      </c>
      <c r="Y77" s="67">
        <f>IFERROR(+(D71*Y71)+(D72*Y72)+(D73*Y73)+(D74*Y74)+(D75*Y75)+(D76*Y76),"")</f>
        <v>0</v>
      </c>
      <c r="Z77" s="67">
        <f>IFERROR(+(D71*Z71)+(D72*Z72)+(D73*Z73)+(D74*Z74)+(D75*Z75)+(D76*Z76),"")</f>
        <v>0</v>
      </c>
      <c r="AA77" s="67">
        <f>IFERROR(+(D71*AA71)+(D72*AA72)+(D73*AA73)+(D74*AA74)+(D75*AA75)+(D76*AA76),"")</f>
        <v>0</v>
      </c>
      <c r="AB77" s="67">
        <f>IFERROR(+(D71*AB71)+(D72*AB72)+(D73*AB73)+(D74*AB74)+(D75*AB75)+(D76*AB76),"")</f>
        <v>0</v>
      </c>
      <c r="AC77" s="67">
        <f>IFERROR(+(D71*AC71)+(D72*AC72)+(D73*AC73)+(D74*AC74)+(D75*AC75)+(D76*AC76),"")</f>
        <v>0</v>
      </c>
      <c r="AD77" s="67">
        <f>IFERROR(+(D71*AD71)+(D72*AD72)+(D73*AD73)+(D74*AD74)+(D75*AD75)+(D76*AD76),"")</f>
        <v>0</v>
      </c>
      <c r="AE77" s="67">
        <f>IFERROR(+(D71*AE71)+(D72*AE72)+(D73*AE73)+(D74*AE74)+(D75*AE75)+(D76*AE76),"")</f>
        <v>0</v>
      </c>
      <c r="AF77" s="67">
        <f>IFERROR(+(D71*AF71)+(D72*AF72)+(D73*AF73)+(D74*AF74)+(D75*AF75)+(D76*AF76),"")</f>
        <v>0</v>
      </c>
      <c r="AG77" s="67">
        <f>IFERROR(+(D71*AG71)+(D72*AG72)+(D73*AG73)+(D74*AG74)+(D75*AG75)+(D76*AG76),"")</f>
        <v>0</v>
      </c>
      <c r="AH77" s="67">
        <f>IFERROR(+(D71*AH71)+(D72*AH72)+(D73*AH73)+(D74*AH74)+(D75*AH75)+(D76*AH76),"")</f>
        <v>0</v>
      </c>
    </row>
    <row r="78" spans="1:34" ht="14.25" customHeight="1" thickBot="1">
      <c r="A78" s="56" t="str">
        <f>"Victim "&amp;'Factor Sheet'!A34&amp;" "&amp;'Factor Sheet'!B34</f>
        <v>Victim 9 Unconscious Non-Breathing</v>
      </c>
      <c r="B78" s="57" t="s">
        <v>137</v>
      </c>
      <c r="C78" s="58"/>
      <c r="D78" s="58">
        <f>+'Factor Sheet'!C34</f>
        <v>1.5</v>
      </c>
      <c r="E78" s="75"/>
      <c r="F78" s="75"/>
      <c r="G78" s="75"/>
      <c r="H78" s="75"/>
      <c r="I78" s="75"/>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row>
    <row r="79" spans="1:34" ht="14.25" customHeight="1" thickBot="1">
      <c r="A79" s="50"/>
      <c r="B79" s="51" t="s">
        <v>48</v>
      </c>
      <c r="C79" s="52"/>
      <c r="D79" s="52">
        <f>+'Factor Sheet'!D34</f>
        <v>1</v>
      </c>
      <c r="E79" s="75"/>
      <c r="F79" s="75"/>
      <c r="G79" s="75"/>
      <c r="H79" s="75"/>
      <c r="I79" s="75"/>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row>
    <row r="80" spans="1:34" ht="14.25" customHeight="1" thickBot="1">
      <c r="A80" s="50"/>
      <c r="B80" s="51" t="s">
        <v>138</v>
      </c>
      <c r="C80" s="52"/>
      <c r="D80" s="52">
        <f>+'Factor Sheet'!E34</f>
        <v>1</v>
      </c>
      <c r="E80" s="75"/>
      <c r="F80" s="75"/>
      <c r="G80" s="75"/>
      <c r="H80" s="75"/>
      <c r="I80" s="75"/>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row>
    <row r="81" spans="1:34" ht="14.25" customHeight="1" thickBot="1">
      <c r="A81" s="50"/>
      <c r="B81" s="51" t="s">
        <v>50</v>
      </c>
      <c r="C81" s="52"/>
      <c r="D81" s="52">
        <f>+'Factor Sheet'!F34</f>
        <v>1</v>
      </c>
      <c r="E81" s="75"/>
      <c r="F81" s="75"/>
      <c r="G81" s="75"/>
      <c r="H81" s="75"/>
      <c r="I81" s="75"/>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row>
    <row r="82" spans="1:34" ht="14.25" customHeight="1" thickBot="1">
      <c r="A82" s="50"/>
      <c r="B82" s="51" t="s">
        <v>139</v>
      </c>
      <c r="C82" s="52"/>
      <c r="D82" s="52">
        <f>+'Factor Sheet'!G34</f>
        <v>1.5</v>
      </c>
      <c r="E82" s="75"/>
      <c r="F82" s="75"/>
      <c r="G82" s="75"/>
      <c r="H82" s="75"/>
      <c r="I82" s="75"/>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row>
    <row r="83" spans="1:34" ht="14.25" customHeight="1" thickBot="1">
      <c r="A83" s="53"/>
      <c r="B83" s="54" t="s">
        <v>136</v>
      </c>
      <c r="C83" s="55"/>
      <c r="D83" s="55">
        <v>1</v>
      </c>
      <c r="E83" s="75"/>
      <c r="F83" s="75"/>
      <c r="G83" s="75"/>
      <c r="H83" s="75"/>
      <c r="I83" s="75"/>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row>
    <row r="84" spans="1:34" ht="14.25" customHeight="1" thickBot="1">
      <c r="A84" s="116" t="s">
        <v>145</v>
      </c>
      <c r="B84" s="117"/>
      <c r="C84" s="66"/>
      <c r="D84" s="66"/>
      <c r="E84" s="67">
        <f>IFERROR(+(D78*E78)+(D79*E79)+(D80*E80)+(D81*E81)+(D82*E82)+(D83*E83),"")</f>
        <v>0</v>
      </c>
      <c r="F84" s="67">
        <f>IFERROR(+(D78*F78)+(D79*F79)+(D80*F80)+(D81*F81)+(D82*F82)+(D83*F83),"")</f>
        <v>0</v>
      </c>
      <c r="G84" s="67">
        <f>IFERROR(+(D78*G78)+(D79*G79)+(D80*G80)+(D81*G81)+(D82*G82)+(D83*G83),"")</f>
        <v>0</v>
      </c>
      <c r="H84" s="67">
        <f>IFERROR(+(D78*H78)+(D79*H79)+(D80*H80)+(D81*H81)+(D82*H82)+(D83*H83),"")</f>
        <v>0</v>
      </c>
      <c r="I84" s="67">
        <f>IFERROR(+(D78*I78)+(D79*I79)+(D80*I80)+(D81*I81)+(D82*I82)+(D83*I83),"")</f>
        <v>0</v>
      </c>
      <c r="J84" s="67">
        <f>IFERROR(+(D78*J78)+(D79*J79)+(D80*J80)+(D81*J81)+(D82*J82)+(D83*J83),"")</f>
        <v>0</v>
      </c>
      <c r="K84" s="67">
        <f>IFERROR(+(D78*K78)+(D79*K79)+(D80*K80)+(D81*K81)+(D82*K82)+(D83*K83),"")</f>
        <v>0</v>
      </c>
      <c r="L84" s="67">
        <f>IFERROR(+(D78*L78)+(D79*L79)+(D80*L80)+(D81*L81)+(D82*L82)+(D83*L83),"")</f>
        <v>0</v>
      </c>
      <c r="M84" s="67">
        <f>IFERROR(+(D78*M78)+(D79*M79)+(D80*M80)+(D81*M81)+(D82*M82)+(D83*M83),"")</f>
        <v>0</v>
      </c>
      <c r="N84" s="67">
        <f>IFERROR(+(D78*N78)+(D79*N79)+(D80*N80)+(D81*N81)+(D82*N82)+(D83*N83),"")</f>
        <v>0</v>
      </c>
      <c r="O84" s="67">
        <f>IFERROR(+(D78*O78)+(D79*O79)+(D80*O80)+(D81*O81)+(D82*O82)+(D83*O83),"")</f>
        <v>0</v>
      </c>
      <c r="P84" s="67">
        <f>IFERROR(+(D78*P78)+(D79*P79)+(D80*P80)+(D81*P81)+(D82*P82)+(D83*P83),"")</f>
        <v>0</v>
      </c>
      <c r="Q84" s="67">
        <f>IFERROR(+(D78*Q78)+(D79*Q79)+(D80*Q80)+(D81*Q81)+(D82*Q82)+(D83*Q83),"")</f>
        <v>0</v>
      </c>
      <c r="R84" s="67">
        <f>IFERROR(+(D78*R78)+(D79*R79)+(D80*R80)+(D81*R81)+(D82*R82)+(D83*R83),"")</f>
        <v>0</v>
      </c>
      <c r="S84" s="67">
        <f>IFERROR(+(D78*S78)+(D79*S79)+(D80*S80)+(D81*S81)+(D82*S82)+(D83*S83),"")</f>
        <v>0</v>
      </c>
      <c r="T84" s="67">
        <f>IFERROR(+(D78*T78)+(D79*T79)+(D80*T80)+(D81*T81)+(D82*T82)+(D83*T83),"")</f>
        <v>0</v>
      </c>
      <c r="U84" s="67">
        <f>IFERROR(+(D78*U78)+(D79*U79)+(D80*U80)+(D81*U81)+(D82*U82)+(D83*U83),"")</f>
        <v>0</v>
      </c>
      <c r="V84" s="67">
        <f>IFERROR(+(D78*V78)+(D79*V79)+(D80*V80)+(D81*V81)+(D82*V82)+(D83*V83),"")</f>
        <v>0</v>
      </c>
      <c r="W84" s="67">
        <f>IFERROR(+(D78*W78)+(D79*W79)+(D80*W80)+(D81*W81)+(D82*W82)+(D83*W83),"")</f>
        <v>0</v>
      </c>
      <c r="X84" s="67">
        <f>IFERROR(+(D78*X78)+(D79*X79)+(D80*X80)+(D81*X81)+(D82*X82)+(D83*X83),"")</f>
        <v>0</v>
      </c>
      <c r="Y84" s="67">
        <f>IFERROR(+(D78*Y78)+(D79*Y79)+(D80*Y80)+(D81*Y81)+(D82*Y82)+(D83*Y83),"")</f>
        <v>0</v>
      </c>
      <c r="Z84" s="67">
        <f>IFERROR(+(D78*Z78)+(D79*Z79)+(D80*Z80)+(D81*Z81)+(D82*Z82)+(D83*Z83),"")</f>
        <v>0</v>
      </c>
      <c r="AA84" s="67">
        <f>IFERROR(+(D78*AA78)+(D79*AA79)+(D80*AA80)+(D81*AA81)+(D82*AA82)+(D83*AA83),"")</f>
        <v>0</v>
      </c>
      <c r="AB84" s="67">
        <f>IFERROR(+(D78*AB78)+(D79*AB79)+(D80*AB80)+(D81*AB81)+(D82*AB82)+(D83*AB83),"")</f>
        <v>0</v>
      </c>
      <c r="AC84" s="67">
        <f>IFERROR(+(D78*AC78)+(D79*AC79)+(D80*AC80)+(D81*AC81)+(D82*AC82)+(D83*AC83),"")</f>
        <v>0</v>
      </c>
      <c r="AD84" s="67">
        <f>IFERROR(+(D78*AD78)+(D79*AD79)+(D80*AD80)+(D81*AD81)+(D82*AD82)+(D83*AD83),"")</f>
        <v>0</v>
      </c>
      <c r="AE84" s="67">
        <f>IFERROR(+(D78*AE78)+(D79*AE79)+(D80*AE80)+(D81*AE81)+(D82*AE82)+(D83*AE83),"")</f>
        <v>0</v>
      </c>
      <c r="AF84" s="67">
        <f>IFERROR(+(D78*AF78)+(D79*AF79)+(D80*AF80)+(D81*AF81)+(D82*AF82)+(D83*AF83),"")</f>
        <v>0</v>
      </c>
      <c r="AG84" s="67">
        <f>IFERROR(+(D78*AG78)+(D79*AG79)+(D80*AG80)+(D81*AG81)+(D82*AG82)+(D83*AG83),"")</f>
        <v>0</v>
      </c>
      <c r="AH84" s="67">
        <f>IFERROR(+(D78*AH78)+(D79*AH79)+(D80*AH80)+(D81*AH81)+(D82*AH82)+(D83*AH83),"")</f>
        <v>0</v>
      </c>
    </row>
    <row r="85" spans="1:34" ht="14.25" customHeight="1" thickBot="1">
      <c r="A85" s="56" t="str">
        <f>"Victim "&amp;'Factor Sheet'!A35&amp;" "&amp;'Factor Sheet'!B35</f>
        <v>Victim 10 0</v>
      </c>
      <c r="B85" s="57" t="s">
        <v>137</v>
      </c>
      <c r="C85" s="58"/>
      <c r="D85" s="58" t="e">
        <f>+'Factor Sheet'!C35</f>
        <v>#N/A</v>
      </c>
      <c r="E85" s="75"/>
      <c r="F85" s="75"/>
      <c r="G85" s="75"/>
      <c r="H85" s="75"/>
      <c r="I85" s="75"/>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row>
    <row r="86" spans="1:34" ht="14.25" customHeight="1" thickBot="1">
      <c r="A86" s="50"/>
      <c r="B86" s="51" t="s">
        <v>140</v>
      </c>
      <c r="C86" s="52"/>
      <c r="D86" s="52" t="e">
        <f>+'Factor Sheet'!D35</f>
        <v>#N/A</v>
      </c>
      <c r="E86" s="75"/>
      <c r="F86" s="75"/>
      <c r="G86" s="75"/>
      <c r="H86" s="75"/>
      <c r="I86" s="75"/>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row>
    <row r="87" spans="1:34" ht="14.25" customHeight="1" thickBot="1">
      <c r="A87" s="50"/>
      <c r="B87" s="51" t="s">
        <v>141</v>
      </c>
      <c r="C87" s="52"/>
      <c r="D87" s="52" t="e">
        <f>+'Factor Sheet'!E35</f>
        <v>#N/A</v>
      </c>
      <c r="E87" s="75"/>
      <c r="F87" s="75"/>
      <c r="G87" s="75"/>
      <c r="H87" s="75"/>
      <c r="I87" s="75"/>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row>
    <row r="88" spans="1:34" ht="14.25" customHeight="1" thickBot="1">
      <c r="A88" s="50"/>
      <c r="B88" s="51" t="s">
        <v>109</v>
      </c>
      <c r="C88" s="52"/>
      <c r="D88" s="52" t="e">
        <f>+'Factor Sheet'!F35</f>
        <v>#N/A</v>
      </c>
      <c r="E88" s="75"/>
      <c r="F88" s="75"/>
      <c r="G88" s="75"/>
      <c r="H88" s="75"/>
      <c r="I88" s="75"/>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row>
    <row r="89" spans="1:34" ht="14.25" customHeight="1" thickBot="1">
      <c r="A89" s="50"/>
      <c r="B89" s="51" t="s">
        <v>142</v>
      </c>
      <c r="C89" s="52"/>
      <c r="D89" s="52" t="e">
        <f>+'Factor Sheet'!G35</f>
        <v>#N/A</v>
      </c>
      <c r="E89" s="75"/>
      <c r="F89" s="75"/>
      <c r="G89" s="75"/>
      <c r="H89" s="75"/>
      <c r="I89" s="75"/>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row>
    <row r="90" spans="1:34" ht="14.25" customHeight="1" thickBot="1">
      <c r="A90" s="53"/>
      <c r="B90" s="54" t="s">
        <v>136</v>
      </c>
      <c r="C90" s="55"/>
      <c r="D90" s="55">
        <v>1</v>
      </c>
      <c r="E90" s="75"/>
      <c r="F90" s="75"/>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row>
    <row r="91" spans="1:34" ht="14.25" customHeight="1" thickBot="1">
      <c r="A91" s="116" t="s">
        <v>145</v>
      </c>
      <c r="B91" s="117"/>
      <c r="C91" s="66"/>
      <c r="D91" s="66"/>
      <c r="E91" s="67" t="str">
        <f>IFERROR(+(D85*E85)+(D86*E86)+(D87*E87)+(D88*E88)+(D89*E89)+(D90*E90),"")</f>
        <v/>
      </c>
      <c r="F91" s="67" t="str">
        <f>IFERROR(+(D85*F85)+(D86*F86)+(D87*F87)+(D88*F88)+(D89*F89)+(D90*F90),"")</f>
        <v/>
      </c>
      <c r="G91" s="67" t="str">
        <f>IFERROR(+(D85*G85)+(D86*G86)+(D87*G87)+(D88*G88)+(D89*G89)+(D90*G90),"")</f>
        <v/>
      </c>
      <c r="H91" s="67" t="str">
        <f>IFERROR(+(D85*H85)+(D86*H86)+(D87*H87)+(D88*H88)+(D89*H89)+(D90*H90),"")</f>
        <v/>
      </c>
      <c r="I91" s="67" t="str">
        <f>IFERROR(+(D85*I85)+(D86*I86)+(D87*I87)+(D88*I88)+(D89*I89)+(D90*I90),"")</f>
        <v/>
      </c>
      <c r="J91" s="67" t="str">
        <f>IFERROR(+(D85*J85)+(D86*J86)+(D87*J87)+(D88*J88)+(D89*J89)+(D90*J90),"")</f>
        <v/>
      </c>
      <c r="K91" s="67" t="str">
        <f>IFERROR(+(D85*K85)+(D86*K86)+(D87*K87)+(D88*K88)+(D89*K89)+(D90*K90),"")</f>
        <v/>
      </c>
      <c r="L91" s="67" t="str">
        <f>IFERROR(+(D85*L85)+(D86*L86)+(D87*L87)+(D88*L88)+(D89*L89)+(D90*L90),"")</f>
        <v/>
      </c>
      <c r="M91" s="67" t="str">
        <f>IFERROR(+(D85*M85)+(D86*M86)+(D87*M87)+(D88*M88)+(D89*M89)+(D90*M90),"")</f>
        <v/>
      </c>
      <c r="N91" s="67" t="str">
        <f>IFERROR(+(D85*N85)+(D86*N86)+(D87*N87)+(D88*N88)+(D89*N89)+(D90*N90),"")</f>
        <v/>
      </c>
      <c r="O91" s="67" t="str">
        <f>IFERROR(+(D85*O85)+(D86*O86)+(D87*O87)+(D88*O88)+(D89*O89)+(D90*O90),"")</f>
        <v/>
      </c>
      <c r="P91" s="67" t="str">
        <f>IFERROR(+(D85*P85)+(D86*P86)+(D87*P87)+(D88*P88)+(D89*P89)+(D90*P90),"")</f>
        <v/>
      </c>
      <c r="Q91" s="67" t="str">
        <f>IFERROR(+(D85*Q85)+(D86*Q86)+(D87*Q87)+(D88*Q88)+(D89*Q89)+(D90*Q90),"")</f>
        <v/>
      </c>
      <c r="R91" s="67" t="str">
        <f>IFERROR(+(D85*R85)+(D86*R86)+(D87*R87)+(D88*R88)+(D89*R89)+(D90*R90),"")</f>
        <v/>
      </c>
      <c r="S91" s="67" t="str">
        <f>IFERROR(+(D85*S85)+(D86*S86)+(D87*S87)+(D88*S88)+(D89*S89)+(D90*S90),"")</f>
        <v/>
      </c>
      <c r="T91" s="67" t="str">
        <f>IFERROR(+(D85*T85)+(D86*T86)+(D87*T87)+(D88*T88)+(D89*T89)+(D90*T90),"")</f>
        <v/>
      </c>
      <c r="U91" s="67" t="str">
        <f>IFERROR(+(D85*U85)+(D86*U86)+(D87*U87)+(D88*U88)+(D89*U89)+(D90*U90),"")</f>
        <v/>
      </c>
      <c r="V91" s="67" t="str">
        <f>IFERROR(+(D85*V85)+(D86*V86)+(D87*V87)+(D88*V88)+(D89*V89)+(D90*V90),"")</f>
        <v/>
      </c>
      <c r="W91" s="67" t="str">
        <f>IFERROR(+(D85*W85)+(D86*W86)+(D87*W87)+(D88*W88)+(D89*W89)+(D90*W90),"")</f>
        <v/>
      </c>
      <c r="X91" s="67" t="str">
        <f>IFERROR(+(D85*X85)+(D86*X86)+(D87*X87)+(D88*X88)+(D89*X89)+(D90*X90),"")</f>
        <v/>
      </c>
      <c r="Y91" s="67" t="str">
        <f>IFERROR(+(D85*Y85)+(D86*Y86)+(D87*Y87)+(D88*Y88)+(D89*Y89)+(D90*Y90),"")</f>
        <v/>
      </c>
      <c r="Z91" s="67" t="str">
        <f>IFERROR(+(D85*Z85)+(D86*Z86)+(D87*Z87)+(D88*Z88)+(D89*Z89)+(D90*Z90),"")</f>
        <v/>
      </c>
      <c r="AA91" s="67" t="str">
        <f>IFERROR(+(D85*AA85)+(D86*AA86)+(D87*AA87)+(D88*AA88)+(D89*AA89)+(D90*AA90),"")</f>
        <v/>
      </c>
      <c r="AB91" s="67" t="str">
        <f>IFERROR(+(D85*AB85)+(D86*AB86)+(D87*AB87)+(D88*AB88)+(D89*AB89)+(D90*AB90),"")</f>
        <v/>
      </c>
      <c r="AC91" s="67" t="str">
        <f>IFERROR(+(D85*AC85)+(D86*AC86)+(D87*AC87)+(D88*AC88)+(D89*AC89)+(D90*AC90),"")</f>
        <v/>
      </c>
      <c r="AD91" s="67" t="str">
        <f>IFERROR(+(D85*AD85)+(D86*AD86)+(D87*AD87)+(D88*AD88)+(D89*AD89)+(D90*AD90),"")</f>
        <v/>
      </c>
      <c r="AE91" s="67" t="str">
        <f>IFERROR(+(D85*AE85)+(D86*AE86)+(D87*AE87)+(D88*AE88)+(D89*AE89)+(D90*AE90),"")</f>
        <v/>
      </c>
      <c r="AF91" s="67" t="str">
        <f>IFERROR(+(D85*AF85)+(D86*AF86)+(D87*AF87)+(D88*AF88)+(D89*AF89)+(D90*AF90),"")</f>
        <v/>
      </c>
      <c r="AG91" s="67" t="str">
        <f>IFERROR(+(D85*AG85)+(D86*AG86)+(D87*AG87)+(D88*AG88)+(D89*AG89)+(D90*AG90),"")</f>
        <v/>
      </c>
      <c r="AH91" s="67" t="str">
        <f>IFERROR(+(D85*AH85)+(D86*AH86)+(D87*AH87)+(D88*AH88)+(D89*AH89)+(D90*AH90),"")</f>
        <v/>
      </c>
    </row>
    <row r="92" spans="1:34" ht="14.25" customHeight="1" thickBot="1">
      <c r="A92" s="56" t="str">
        <f>"Victim "&amp;'Factor Sheet'!A36&amp;" "&amp;'Factor Sheet'!B36</f>
        <v>Victim 11 0</v>
      </c>
      <c r="B92" s="57" t="s">
        <v>137</v>
      </c>
      <c r="C92" s="58"/>
      <c r="D92" s="58" t="e">
        <f>+'Factor Sheet'!C36</f>
        <v>#N/A</v>
      </c>
      <c r="E92" s="75"/>
      <c r="F92" s="75"/>
      <c r="G92" s="75"/>
      <c r="H92" s="75"/>
      <c r="I92" s="75"/>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row>
    <row r="93" spans="1:34" ht="14.25" customHeight="1" thickBot="1">
      <c r="A93" s="50"/>
      <c r="B93" s="51" t="s">
        <v>48</v>
      </c>
      <c r="C93" s="52"/>
      <c r="D93" s="52" t="e">
        <f>+'Factor Sheet'!D36</f>
        <v>#N/A</v>
      </c>
      <c r="E93" s="75"/>
      <c r="F93" s="75"/>
      <c r="G93" s="75"/>
      <c r="H93" s="75"/>
      <c r="I93" s="75"/>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row>
    <row r="94" spans="1:34" ht="14.25" customHeight="1" thickBot="1">
      <c r="A94" s="50"/>
      <c r="B94" s="51" t="s">
        <v>143</v>
      </c>
      <c r="C94" s="52"/>
      <c r="D94" s="52" t="e">
        <f>+'Factor Sheet'!E36</f>
        <v>#N/A</v>
      </c>
      <c r="E94" s="75"/>
      <c r="F94" s="75"/>
      <c r="G94" s="75"/>
      <c r="H94" s="75"/>
      <c r="I94" s="75"/>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row>
    <row r="95" spans="1:34" ht="14.25" customHeight="1" thickBot="1">
      <c r="A95" s="50"/>
      <c r="B95" s="51" t="s">
        <v>50</v>
      </c>
      <c r="C95" s="52"/>
      <c r="D95" s="52" t="e">
        <f>+'Factor Sheet'!F36</f>
        <v>#N/A</v>
      </c>
      <c r="E95" s="75"/>
      <c r="F95" s="75"/>
      <c r="G95" s="75"/>
      <c r="H95" s="75"/>
      <c r="I95" s="75"/>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row>
    <row r="96" spans="1:34" ht="14.25" customHeight="1" thickBot="1">
      <c r="A96" s="50"/>
      <c r="B96" s="51" t="s">
        <v>139</v>
      </c>
      <c r="C96" s="52"/>
      <c r="D96" s="52" t="e">
        <f>+'Factor Sheet'!G36</f>
        <v>#N/A</v>
      </c>
      <c r="E96" s="75"/>
      <c r="F96" s="75"/>
      <c r="G96" s="75"/>
      <c r="H96" s="75"/>
      <c r="I96" s="75"/>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row>
    <row r="97" spans="1:34" ht="15.75" customHeight="1" thickBot="1">
      <c r="A97" s="53"/>
      <c r="B97" s="54" t="s">
        <v>136</v>
      </c>
      <c r="C97" s="55"/>
      <c r="D97" s="55">
        <v>1</v>
      </c>
      <c r="E97" s="75"/>
      <c r="F97" s="75"/>
      <c r="G97" s="75"/>
      <c r="H97" s="75"/>
      <c r="I97" s="75"/>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row>
    <row r="98" spans="1:34" ht="15.75" customHeight="1" thickBot="1">
      <c r="A98" s="116" t="s">
        <v>145</v>
      </c>
      <c r="B98" s="117"/>
      <c r="C98" s="66"/>
      <c r="D98" s="66"/>
      <c r="E98" s="67" t="str">
        <f>IFERROR(+(D92*E92)+(D93*E93)+(D94*E94)+(D95*E95)+(D96*E96)+(D97*E97),"")</f>
        <v/>
      </c>
      <c r="F98" s="67" t="str">
        <f>IFERROR(+(D92*F92)+(D93*F93)+(D94*F94)+(D95*F95)+(D96*F96)+(D97*F97),"")</f>
        <v/>
      </c>
      <c r="G98" s="67" t="str">
        <f>IFERROR(+(D92*G92)+(D93*G93)+(D94*G94)+(D95*G95)+(D96*G96)+(D97*G97),"")</f>
        <v/>
      </c>
      <c r="H98" s="67" t="str">
        <f>IFERROR(+(D92*H92)+(D93*H93)+(D94*H94)+(D95*H95)+(D96*H96)+(D97*H97),"")</f>
        <v/>
      </c>
      <c r="I98" s="67" t="str">
        <f>IFERROR(+(D92*I92)+(D93*I93)+(D94*I94)+(D95*I95)+(D96*I96)+(D97*I97),"")</f>
        <v/>
      </c>
      <c r="J98" s="67" t="str">
        <f>IFERROR(+(D92*J92)+(D93*J93)+(D94*J94)+(D95*J95)+(D96*J96)+(D97*J97),"")</f>
        <v/>
      </c>
      <c r="K98" s="67" t="str">
        <f>IFERROR(+(D92*K92)+(D93*K93)+(D94*K94)+(D95*K95)+(D96*K96)+(D97*K97),"")</f>
        <v/>
      </c>
      <c r="L98" s="67" t="str">
        <f>IFERROR(+(D92*L92)+(D93*L93)+(D94*L94)+(D95*L95)+(D96*L96)+(D97*L97),"")</f>
        <v/>
      </c>
      <c r="M98" s="67" t="str">
        <f>IFERROR(+(D92*M92)+(D93*M93)+(D94*M94)+(D95*M95)+(D96*M96)+(D97*M97),"")</f>
        <v/>
      </c>
      <c r="N98" s="67" t="str">
        <f>IFERROR(+(D92*N92)+(D93*N93)+(D94*N94)+(D95*N95)+(D96*N96)+(D97*N97),"")</f>
        <v/>
      </c>
      <c r="O98" s="67" t="str">
        <f>IFERROR(+(D92*O92)+(D93*O93)+(D94*O94)+(D95*O95)+(D96*O96)+(D97*O97),"")</f>
        <v/>
      </c>
      <c r="P98" s="67" t="str">
        <f>IFERROR(+(D92*P92)+(D93*P93)+(D94*P94)+(D95*P95)+(D96*P96)+(D97*P97),"")</f>
        <v/>
      </c>
      <c r="Q98" s="67" t="str">
        <f>IFERROR(+(D92*Q92)+(D93*Q93)+(D94*Q94)+(D95*Q95)+(D96*Q96)+(D97*Q97),"")</f>
        <v/>
      </c>
      <c r="R98" s="67" t="str">
        <f>IFERROR(+(D92*R92)+(D93*R93)+(D94*R94)+(D95*R95)+(D96*R96)+(D97*R97),"")</f>
        <v/>
      </c>
      <c r="S98" s="67" t="str">
        <f>IFERROR(+(D92*S92)+(D93*S93)+(D94*S94)+(D95*S95)+(D96*S96)+(D97*S97),"")</f>
        <v/>
      </c>
      <c r="T98" s="67" t="str">
        <f>IFERROR(+(D92*T92)+(D93*T93)+(D94*T94)+(D95*T95)+(D96*T96)+(D97*T97),"")</f>
        <v/>
      </c>
      <c r="U98" s="67" t="str">
        <f>IFERROR(+(D92*U92)+(D93*U93)+(D94*U94)+(D95*U95)+(D96*U96)+(D97*U97),"")</f>
        <v/>
      </c>
      <c r="V98" s="67" t="str">
        <f>IFERROR(+(D92*V92)+(D93*V93)+(D94*V94)+(D95*V95)+(D96*V96)+(D97*V97),"")</f>
        <v/>
      </c>
      <c r="W98" s="67" t="str">
        <f>IFERROR(+(D92*W92)+(D93*W93)+(D94*W94)+(D95*W95)+(D96*W96)+(D97*W97),"")</f>
        <v/>
      </c>
      <c r="X98" s="67" t="str">
        <f>IFERROR(+(D92*X92)+(D93*X93)+(D94*X94)+(D95*X95)+(D96*X96)+(D97*X97),"")</f>
        <v/>
      </c>
      <c r="Y98" s="67" t="str">
        <f>IFERROR(+(D92*Y92)+(D93*Y93)+(D94*Y94)+(D95*Y95)+(D96*Y96)+(D97*Y97),"")</f>
        <v/>
      </c>
      <c r="Z98" s="67" t="str">
        <f>IFERROR(+(D92*Z92)+(D93*Z93)+(D94*Z94)+(D95*Z95)+(D96*Z96)+(D97*Z97),"")</f>
        <v/>
      </c>
      <c r="AA98" s="67" t="str">
        <f>IFERROR(+(D92*AA92)+(D93*AA93)+(D94*AA94)+(D95*AA95)+(D96*AA96)+(D97*AA97),"")</f>
        <v/>
      </c>
      <c r="AB98" s="67" t="str">
        <f>IFERROR(+(D92*AB92)+(D93*AB93)+(D94*AB94)+(D95*AB95)+(D96*AB96)+(D97*AB97),"")</f>
        <v/>
      </c>
      <c r="AC98" s="67" t="str">
        <f>IFERROR(+(D92*AC92)+(D93*AC93)+(D94*AC94)+(D95*AC95)+(D96*AC96)+(D97*AC97),"")</f>
        <v/>
      </c>
      <c r="AD98" s="67" t="str">
        <f>IFERROR(+(D92*AD92)+(D93*AD93)+(D94*AD94)+(D95*AD95)+(D96*AD96)+(D97*AD97),"")</f>
        <v/>
      </c>
      <c r="AE98" s="67" t="str">
        <f>IFERROR(+(D92*AE92)+(D93*AE93)+(D94*AE94)+(D95*AE95)+(D96*AE96)+(D97*AE97),"")</f>
        <v/>
      </c>
      <c r="AF98" s="67" t="str">
        <f>IFERROR(+(D92*AF92)+(D93*AF93)+(D94*AF94)+(D95*AF95)+(D96*AF96)+(D97*AF97),"")</f>
        <v/>
      </c>
      <c r="AG98" s="67" t="str">
        <f>IFERROR(+(D92*AG92)+(D93*AG93)+(D94*AG94)+(D95*AG95)+(D96*AG96)+(D97*AG97),"")</f>
        <v/>
      </c>
      <c r="AH98" s="67" t="str">
        <f>IFERROR(+(D92*AH92)+(D93*AH93)+(D94*AH94)+(D95*AH95)+(D96*AH96)+(D97*AH97),"")</f>
        <v/>
      </c>
    </row>
    <row r="99" spans="1:34" ht="15.75" customHeight="1" thickBot="1">
      <c r="A99" s="56" t="str">
        <f>"Victim "&amp;'Factor Sheet'!A37&amp;" "&amp;'Factor Sheet'!B37</f>
        <v>Victim 12 0</v>
      </c>
      <c r="B99" s="57" t="s">
        <v>137</v>
      </c>
      <c r="C99" s="58"/>
      <c r="D99" s="58" t="e">
        <f>+'Factor Sheet'!C37</f>
        <v>#N/A</v>
      </c>
      <c r="E99" s="75"/>
      <c r="F99" s="75"/>
      <c r="G99" s="75"/>
      <c r="H99" s="75"/>
      <c r="I99" s="75"/>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row>
    <row r="100" spans="1:34" ht="15.75" customHeight="1" thickBot="1">
      <c r="A100" s="50"/>
      <c r="B100" s="51" t="s">
        <v>48</v>
      </c>
      <c r="C100" s="52"/>
      <c r="D100" s="52" t="e">
        <f>+'Factor Sheet'!D37</f>
        <v>#N/A</v>
      </c>
      <c r="E100" s="75"/>
      <c r="F100" s="75"/>
      <c r="G100" s="75"/>
      <c r="H100" s="75"/>
      <c r="I100" s="75"/>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row>
    <row r="101" spans="1:34" ht="15.75" customHeight="1" thickBot="1">
      <c r="A101" s="50"/>
      <c r="B101" s="51" t="s">
        <v>143</v>
      </c>
      <c r="C101" s="52"/>
      <c r="D101" s="52" t="e">
        <f>+'Factor Sheet'!E37</f>
        <v>#N/A</v>
      </c>
      <c r="E101" s="75"/>
      <c r="F101" s="75"/>
      <c r="G101" s="75"/>
      <c r="H101" s="75"/>
      <c r="I101" s="75"/>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row>
    <row r="102" spans="1:34" ht="15.75" customHeight="1" thickBot="1">
      <c r="A102" s="50"/>
      <c r="B102" s="51" t="s">
        <v>50</v>
      </c>
      <c r="C102" s="52"/>
      <c r="D102" s="52" t="e">
        <f>+'Factor Sheet'!F37</f>
        <v>#N/A</v>
      </c>
      <c r="E102" s="75"/>
      <c r="F102" s="75"/>
      <c r="G102" s="75"/>
      <c r="H102" s="75"/>
      <c r="I102" s="75"/>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row>
    <row r="103" spans="1:34" ht="15.75" customHeight="1" thickBot="1">
      <c r="A103" s="50"/>
      <c r="B103" s="51" t="s">
        <v>139</v>
      </c>
      <c r="C103" s="52"/>
      <c r="D103" s="52" t="e">
        <f>+'Factor Sheet'!G37</f>
        <v>#N/A</v>
      </c>
      <c r="E103" s="75"/>
      <c r="F103" s="75"/>
      <c r="G103" s="75"/>
      <c r="H103" s="75"/>
      <c r="I103" s="75"/>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row>
    <row r="104" spans="1:34" ht="15.75" customHeight="1" thickBot="1">
      <c r="A104" s="53"/>
      <c r="B104" s="54" t="s">
        <v>136</v>
      </c>
      <c r="C104" s="55"/>
      <c r="D104" s="55">
        <v>1</v>
      </c>
      <c r="E104" s="75"/>
      <c r="F104" s="75"/>
      <c r="G104" s="75"/>
      <c r="H104" s="75"/>
      <c r="I104" s="75"/>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row>
    <row r="105" spans="1:34" ht="15.75" customHeight="1" thickBot="1">
      <c r="A105" s="116" t="s">
        <v>145</v>
      </c>
      <c r="B105" s="117"/>
      <c r="C105" s="66"/>
      <c r="D105" s="66"/>
      <c r="E105" s="67" t="str">
        <f>IFERROR(+(D99*E99)+(D100*E100)+(D101*E101)+(D102*E102)+(D103*E103)+(D104*E104),"")</f>
        <v/>
      </c>
      <c r="F105" s="67" t="str">
        <f>IFERROR(+(D99*F99)+(D100*F100)+(D101*F101)+(D102*F102)+(D103*F103)+(D104*F104),"")</f>
        <v/>
      </c>
      <c r="G105" s="67" t="str">
        <f>IFERROR(+(D99*G99)+(D100*G100)+(D101*G101)+(D102*G102)+(D103*G103)+(D104*G104),"")</f>
        <v/>
      </c>
      <c r="H105" s="67" t="str">
        <f>IFERROR(+(D99*H99)+(D100*H100)+(D101*H101)+(D102*H102)+(D103*H103)+(D104*H104),"")</f>
        <v/>
      </c>
      <c r="I105" s="67" t="str">
        <f>IFERROR(+(D99*I99)+(D100*I100)+(D101*I101)+(D102*I102)+(D103*I103)+(D104*I104),"")</f>
        <v/>
      </c>
      <c r="J105" s="67" t="str">
        <f>IFERROR(+(D99*J99)+(D100*J100)+(D101*J101)+(D102*J102)+(D103*J103)+(D104*J104),"")</f>
        <v/>
      </c>
      <c r="K105" s="67" t="str">
        <f>IFERROR(+(D99*K99)+(D100*K100)+(D101*K101)+(D102*K102)+(D103*K103)+(D104*K104),"")</f>
        <v/>
      </c>
      <c r="L105" s="67" t="str">
        <f>IFERROR(+(D99*L99)+(D100*L100)+(D101*L101)+(D102*L102)+(D103*L103)+(D104*L104),"")</f>
        <v/>
      </c>
      <c r="M105" s="67" t="str">
        <f>IFERROR(+(D99*M99)+(D100*M100)+(D101*M101)+(D102*M102)+(D103*M103)+(D104*M104),"")</f>
        <v/>
      </c>
      <c r="N105" s="67" t="str">
        <f>IFERROR(+(D99*N99)+(D100*N100)+(D101*N101)+(D102*N102)+(D103*N103)+(D104*N104),"")</f>
        <v/>
      </c>
      <c r="O105" s="67" t="str">
        <f>IFERROR(+(D99*O99)+(D100*O100)+(D101*O101)+(D102*O102)+(D103*O103)+(D104*O104),"")</f>
        <v/>
      </c>
      <c r="P105" s="67" t="str">
        <f>IFERROR(+(D99*P99)+(D100*P100)+(D101*P101)+(D102*P102)+(D103*P103)+(D104*P104),"")</f>
        <v/>
      </c>
      <c r="Q105" s="67" t="str">
        <f>IFERROR(+(D99*Q99)+(D100*Q100)+(D101*Q101)+(D102*Q102)+(D103*Q103)+(D104*Q104),"")</f>
        <v/>
      </c>
      <c r="R105" s="67" t="str">
        <f>IFERROR(+(D99*R99)+(D100*R100)+(D101*R101)+(D102*R102)+(D103*R103)+(D104*R104),"")</f>
        <v/>
      </c>
      <c r="S105" s="67" t="str">
        <f>IFERROR(+(D99*S99)+(D100*S100)+(D101*S101)+(D102*S102)+(D103*S103)+(D104*S104),"")</f>
        <v/>
      </c>
      <c r="T105" s="67" t="str">
        <f>IFERROR(+(D99*T99)+(D100*T100)+(D101*T101)+(D102*T102)+(D103*T103)+(D104*T104),"")</f>
        <v/>
      </c>
      <c r="U105" s="67" t="str">
        <f>IFERROR(+(D99*U99)+(D100*U100)+(D101*U101)+(D102*U102)+(D103*U103)+(D104*U104),"")</f>
        <v/>
      </c>
      <c r="V105" s="67" t="str">
        <f>IFERROR(+(D99*V99)+(D100*V100)+(D101*V101)+(D102*V102)+(D103*V103)+(D104*V104),"")</f>
        <v/>
      </c>
      <c r="W105" s="67" t="str">
        <f>IFERROR(+(D99*W99)+(D100*W100)+(D101*W101)+(D102*W102)+(D103*W103)+(D104*W104),"")</f>
        <v/>
      </c>
      <c r="X105" s="67" t="str">
        <f>IFERROR(+(D99*X99)+(D100*X100)+(D101*X101)+(D102*X102)+(D103*X103)+(D104*X104),"")</f>
        <v/>
      </c>
      <c r="Y105" s="67" t="str">
        <f>IFERROR(+(D99*Y99)+(D100*Y100)+(D101*Y101)+(D102*Y102)+(D103*Y103)+(D104*Y104),"")</f>
        <v/>
      </c>
      <c r="Z105" s="67" t="str">
        <f>IFERROR(+(D99*Z99)+(D100*Z100)+(D101*Z101)+(D102*Z102)+(D103*Z103)+(D104*Z104),"")</f>
        <v/>
      </c>
      <c r="AA105" s="67" t="str">
        <f>IFERROR(+(D99*AA99)+(D100*AA100)+(D101*AA101)+(D102*AA102)+(D103*AA103)+(D104*AA104),"")</f>
        <v/>
      </c>
      <c r="AB105" s="67" t="str">
        <f>IFERROR(+(D99*AB99)+(D100*AB100)+(D101*AB101)+(D102*AB102)+(D103*AB103)+(D104*AB104),"")</f>
        <v/>
      </c>
      <c r="AC105" s="67" t="str">
        <f>IFERROR(+(D99*AC99)+(D100*AC100)+(D101*AC101)+(D102*AC102)+(D103*AC103)+(D104*AC104),"")</f>
        <v/>
      </c>
      <c r="AD105" s="67" t="str">
        <f>IFERROR(+(D99*AD99)+(D100*AD100)+(D101*AD101)+(D102*AD102)+(D103*AD103)+(D104*AD104),"")</f>
        <v/>
      </c>
      <c r="AE105" s="67" t="str">
        <f>IFERROR(+(D99*AE99)+(D100*AE100)+(D101*AE101)+(D102*AE102)+(D103*AE103)+(D104*AE104),"")</f>
        <v/>
      </c>
      <c r="AF105" s="67" t="str">
        <f>IFERROR(+(D99*AF99)+(D100*AF100)+(D101*AF101)+(D102*AF102)+(D103*AF103)+(D104*AF104),"")</f>
        <v/>
      </c>
      <c r="AG105" s="67" t="str">
        <f>IFERROR(+(D99*AG99)+(D100*AG100)+(D101*AG101)+(D102*AG102)+(D103*AG103)+(D104*AG104),"")</f>
        <v/>
      </c>
      <c r="AH105" s="67" t="str">
        <f>IFERROR(+(D99*AH99)+(D100*AH100)+(D101*AH101)+(D102*AH102)+(D103*AH103)+(D104*AH104),"")</f>
        <v/>
      </c>
    </row>
    <row r="106" spans="1:34" ht="15.75" customHeight="1" thickBot="1">
      <c r="A106" s="56" t="str">
        <f>"Victim "&amp;'Factor Sheet'!A38&amp;" "&amp;'Factor Sheet'!B38</f>
        <v>Victim 13 0</v>
      </c>
      <c r="B106" s="57" t="s">
        <v>137</v>
      </c>
      <c r="C106" s="58"/>
      <c r="D106" s="58" t="e">
        <f>+'Factor Sheet'!C38</f>
        <v>#N/A</v>
      </c>
      <c r="E106" s="75"/>
      <c r="F106" s="75"/>
      <c r="G106" s="75"/>
      <c r="H106" s="75"/>
      <c r="I106" s="75"/>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row>
    <row r="107" spans="1:34" ht="15.75" customHeight="1" thickBot="1">
      <c r="A107" s="50"/>
      <c r="B107" s="51" t="s">
        <v>48</v>
      </c>
      <c r="C107" s="52"/>
      <c r="D107" s="52" t="e">
        <f>+'Factor Sheet'!D38</f>
        <v>#N/A</v>
      </c>
      <c r="E107" s="75"/>
      <c r="F107" s="75"/>
      <c r="G107" s="75"/>
      <c r="H107" s="75"/>
      <c r="I107" s="75"/>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row>
    <row r="108" spans="1:34" ht="15.75" customHeight="1" thickBot="1">
      <c r="A108" s="50"/>
      <c r="B108" s="51" t="s">
        <v>143</v>
      </c>
      <c r="C108" s="52"/>
      <c r="D108" s="52" t="e">
        <f>+'Factor Sheet'!E38</f>
        <v>#N/A</v>
      </c>
      <c r="E108" s="75"/>
      <c r="F108" s="75"/>
      <c r="G108" s="75"/>
      <c r="H108" s="75"/>
      <c r="I108" s="75"/>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row>
    <row r="109" spans="1:34" ht="15.75" customHeight="1" thickBot="1">
      <c r="A109" s="50"/>
      <c r="B109" s="51" t="s">
        <v>50</v>
      </c>
      <c r="C109" s="52"/>
      <c r="D109" s="52" t="e">
        <f>+'Factor Sheet'!F38</f>
        <v>#N/A</v>
      </c>
      <c r="E109" s="75"/>
      <c r="F109" s="75"/>
      <c r="G109" s="75"/>
      <c r="H109" s="75"/>
      <c r="I109" s="75"/>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row>
    <row r="110" spans="1:34" ht="15.75" customHeight="1" thickBot="1">
      <c r="A110" s="50"/>
      <c r="B110" s="51" t="s">
        <v>139</v>
      </c>
      <c r="C110" s="52"/>
      <c r="D110" s="52" t="e">
        <f>+'Factor Sheet'!G38</f>
        <v>#N/A</v>
      </c>
      <c r="E110" s="75"/>
      <c r="F110" s="75"/>
      <c r="G110" s="75"/>
      <c r="H110" s="75"/>
      <c r="I110" s="75"/>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row>
    <row r="111" spans="1:34" ht="15.75" customHeight="1" thickBot="1">
      <c r="A111" s="53"/>
      <c r="B111" s="54" t="s">
        <v>136</v>
      </c>
      <c r="C111" s="55"/>
      <c r="D111" s="55">
        <v>1</v>
      </c>
      <c r="E111" s="75"/>
      <c r="F111" s="75"/>
      <c r="G111" s="75"/>
      <c r="H111" s="75"/>
      <c r="I111" s="75"/>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row>
    <row r="112" spans="1:34" ht="15.75" customHeight="1" thickBot="1">
      <c r="A112" s="116" t="s">
        <v>145</v>
      </c>
      <c r="B112" s="117"/>
      <c r="C112" s="66"/>
      <c r="D112" s="66"/>
      <c r="E112" s="67" t="str">
        <f>IFERROR(+(D106*E106)+(D107*E107)+(D108*E108)+(D109*E109)+(D110*E110)+(D111*E111),"")</f>
        <v/>
      </c>
      <c r="F112" s="67" t="str">
        <f>IFERROR(+(D106*F106)+(D107*F107)+(D108*F108)+(D109*F109)+(D110*F110)+(D111*F111),"")</f>
        <v/>
      </c>
      <c r="G112" s="67" t="str">
        <f>IFERROR(+(D106*G106)+(D107*G107)+(D108*G108)+(D109*G109)+(D110*G110)+(D111*G111),"")</f>
        <v/>
      </c>
      <c r="H112" s="67" t="str">
        <f>IFERROR(+(D106*H106)+(D107*H107)+(D108*H108)+(D109*H109)+(D110*H110)+(D111*H111),"")</f>
        <v/>
      </c>
      <c r="I112" s="67" t="str">
        <f>IFERROR(+(D106*I106)+(D107*I107)+(D108*I108)+(D109*I109)+(D110*I110)+(D111*I111),"")</f>
        <v/>
      </c>
      <c r="J112" s="67" t="str">
        <f>IFERROR(+(D106*J106)+(D107*J107)+(D108*J108)+(D109*J109)+(D110*J110)+(D111*J111),"")</f>
        <v/>
      </c>
      <c r="K112" s="67" t="str">
        <f>IFERROR(+(D106*K106)+(D107*K107)+(D108*K108)+(D109*K109)+(D110*K110)+(D111*K111),"")</f>
        <v/>
      </c>
      <c r="L112" s="67" t="str">
        <f>IFERROR(+(D106*L106)+(D107*L107)+(D108*L108)+(D109*L109)+(D110*L110)+(D111*L111),"")</f>
        <v/>
      </c>
      <c r="M112" s="67" t="str">
        <f>IFERROR(+(D106*M106)+(D107*M107)+(D108*M108)+(D109*M109)+(D110*M110)+(D111*M111),"")</f>
        <v/>
      </c>
      <c r="N112" s="67" t="str">
        <f>IFERROR(+(D106*N106)+(D107*N107)+(D108*N108)+(D109*N109)+(D110*N110)+(D111*N111),"")</f>
        <v/>
      </c>
      <c r="O112" s="67" t="str">
        <f>IFERROR(+(D106*O106)+(D107*O107)+(D108*O108)+(D109*O109)+(D110*O110)+(D111*O111),"")</f>
        <v/>
      </c>
      <c r="P112" s="67" t="str">
        <f>IFERROR(+(D106*P106)+(D107*P107)+(D108*P108)+(D109*P109)+(D110*P110)+(D111*P111),"")</f>
        <v/>
      </c>
      <c r="Q112" s="67" t="str">
        <f>IFERROR(+(D106*Q106)+(D107*Q107)+(D108*Q108)+(D109*Q109)+(D110*Q110)+(D111*Q111),"")</f>
        <v/>
      </c>
      <c r="R112" s="67" t="str">
        <f>IFERROR(+(D106*R106)+(D107*R107)+(D108*R108)+(D109*R109)+(D110*R110)+(D111*R111),"")</f>
        <v/>
      </c>
      <c r="S112" s="67" t="str">
        <f>IFERROR(+(D106*S106)+(D107*S107)+(D108*S108)+(D109*S109)+(D110*S110)+(D111*S111),"")</f>
        <v/>
      </c>
      <c r="T112" s="67" t="str">
        <f>IFERROR(+(D106*T106)+(D107*T107)+(D108*T108)+(D109*T109)+(D110*T110)+(D111*T111),"")</f>
        <v/>
      </c>
      <c r="U112" s="67" t="str">
        <f>IFERROR(+(D106*U106)+(D107*U107)+(D108*U108)+(D109*U109)+(D110*U110)+(D111*U111),"")</f>
        <v/>
      </c>
      <c r="V112" s="67" t="str">
        <f>IFERROR(+(D106*V106)+(D107*V107)+(D108*V108)+(D109*V109)+(D110*V110)+(D111*V111),"")</f>
        <v/>
      </c>
      <c r="W112" s="67" t="str">
        <f>IFERROR(+(D106*W106)+(D107*W107)+(D108*W108)+(D109*W109)+(D110*W110)+(D111*W111),"")</f>
        <v/>
      </c>
      <c r="X112" s="67" t="str">
        <f>IFERROR(+(D106*X106)+(D107*X107)+(D108*X108)+(D109*X109)+(D110*X110)+(D111*X111),"")</f>
        <v/>
      </c>
      <c r="Y112" s="67" t="str">
        <f>IFERROR(+(D106*Y106)+(D107*Y107)+(D108*Y108)+(D109*Y109)+(D110*Y110)+(D111*Y111),"")</f>
        <v/>
      </c>
      <c r="Z112" s="67" t="str">
        <f>IFERROR(+(D106*Z106)+(D107*Z107)+(D108*Z108)+(D109*Z109)+(D110*Z110)+(D111*Z111),"")</f>
        <v/>
      </c>
      <c r="AA112" s="67" t="str">
        <f>IFERROR(+(D106*AA106)+(D107*AA107)+(D108*AA108)+(D109*AA109)+(D110*AA110)+(D111*AA111),"")</f>
        <v/>
      </c>
      <c r="AB112" s="67" t="str">
        <f>IFERROR(+(D106*AB106)+(D107*AB107)+(D108*AB108)+(D109*AB109)+(D110*AB110)+(D111*AB111),"")</f>
        <v/>
      </c>
      <c r="AC112" s="67" t="str">
        <f>IFERROR(+(D106*AC106)+(D107*AC107)+(D108*AC108)+(D109*AC109)+(D110*AC110)+(D111*AC111),"")</f>
        <v/>
      </c>
      <c r="AD112" s="67" t="str">
        <f>IFERROR(+(D106*AD106)+(D107*AD107)+(D108*AD108)+(D109*AD109)+(D110*AD110)+(D111*AD111),"")</f>
        <v/>
      </c>
      <c r="AE112" s="67" t="str">
        <f>IFERROR(+(D106*AE106)+(D107*AE107)+(D108*AE108)+(D109*AE109)+(D110*AE110)+(D111*AE111),"")</f>
        <v/>
      </c>
      <c r="AF112" s="67" t="str">
        <f>IFERROR(+(D106*AF106)+(D107*AF107)+(D108*AF108)+(D109*AF109)+(D110*AF110)+(D111*AF111),"")</f>
        <v/>
      </c>
      <c r="AG112" s="67" t="str">
        <f>IFERROR(+(D106*AG106)+(D107*AG107)+(D108*AG108)+(D109*AG109)+(D110*AG110)+(D111*AG111),"")</f>
        <v/>
      </c>
      <c r="AH112" s="67" t="str">
        <f>IFERROR(+(D106*AH106)+(D107*AH107)+(D108*AH108)+(D109*AH109)+(D110*AH110)+(D111*AH111),"")</f>
        <v/>
      </c>
    </row>
    <row r="113" spans="1:34" ht="15.75" customHeight="1" thickBot="1">
      <c r="A113" s="56" t="str">
        <f>"Victim "&amp;'Factor Sheet'!A39&amp;" "&amp;'Factor Sheet'!B39</f>
        <v>Victim 14 0</v>
      </c>
      <c r="B113" s="57" t="s">
        <v>137</v>
      </c>
      <c r="C113" s="58"/>
      <c r="D113" s="58" t="e">
        <f>+'Factor Sheet'!C39</f>
        <v>#N/A</v>
      </c>
      <c r="E113" s="75"/>
      <c r="F113" s="75"/>
      <c r="G113" s="75"/>
      <c r="H113" s="75"/>
      <c r="I113" s="75"/>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row>
    <row r="114" spans="1:34" ht="15.75" customHeight="1" thickBot="1">
      <c r="A114" s="50"/>
      <c r="B114" s="51" t="s">
        <v>48</v>
      </c>
      <c r="C114" s="52"/>
      <c r="D114" s="52" t="e">
        <f>+'Factor Sheet'!D39</f>
        <v>#N/A</v>
      </c>
      <c r="E114" s="75"/>
      <c r="F114" s="75"/>
      <c r="G114" s="75"/>
      <c r="H114" s="75"/>
      <c r="I114" s="75"/>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row>
    <row r="115" spans="1:34" ht="15.75" customHeight="1" thickBot="1">
      <c r="A115" s="50"/>
      <c r="B115" s="51" t="s">
        <v>143</v>
      </c>
      <c r="C115" s="52"/>
      <c r="D115" s="52" t="e">
        <f>+'Factor Sheet'!E39</f>
        <v>#N/A</v>
      </c>
      <c r="E115" s="75"/>
      <c r="F115" s="75"/>
      <c r="G115" s="75"/>
      <c r="H115" s="75"/>
      <c r="I115" s="75"/>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row>
    <row r="116" spans="1:34" ht="15.75" customHeight="1" thickBot="1">
      <c r="A116" s="50"/>
      <c r="B116" s="51" t="s">
        <v>50</v>
      </c>
      <c r="C116" s="52"/>
      <c r="D116" s="52" t="e">
        <f>+'Factor Sheet'!F39</f>
        <v>#N/A</v>
      </c>
      <c r="E116" s="75"/>
      <c r="F116" s="75"/>
      <c r="G116" s="75"/>
      <c r="H116" s="75"/>
      <c r="I116" s="75"/>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row>
    <row r="117" spans="1:34" ht="15.75" customHeight="1" thickBot="1">
      <c r="A117" s="50"/>
      <c r="B117" s="51" t="s">
        <v>139</v>
      </c>
      <c r="C117" s="52"/>
      <c r="D117" s="52" t="e">
        <f>+'Factor Sheet'!G39</f>
        <v>#N/A</v>
      </c>
      <c r="E117" s="75"/>
      <c r="F117" s="75"/>
      <c r="G117" s="75"/>
      <c r="H117" s="75"/>
      <c r="I117" s="75"/>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row>
    <row r="118" spans="1:34" ht="15.75" customHeight="1" thickBot="1">
      <c r="A118" s="53"/>
      <c r="B118" s="54" t="s">
        <v>136</v>
      </c>
      <c r="C118" s="55"/>
      <c r="D118" s="55">
        <v>1</v>
      </c>
      <c r="E118" s="75"/>
      <c r="F118" s="75"/>
      <c r="G118" s="75"/>
      <c r="H118" s="75"/>
      <c r="I118" s="75"/>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row>
    <row r="119" spans="1:34" ht="15.75" customHeight="1" thickBot="1">
      <c r="A119" s="116" t="s">
        <v>145</v>
      </c>
      <c r="B119" s="117"/>
      <c r="C119" s="66"/>
      <c r="D119" s="66"/>
      <c r="E119" s="67" t="str">
        <f>IFERROR(+(D113*E113)+(D114*E114)+(D115*E115)+(D116*E116)+(D117*E117)+(D118*E118),"")</f>
        <v/>
      </c>
      <c r="F119" s="67" t="str">
        <f>IFERROR(+(D113*F113)+(D114*F114)+(D115*F115)+(D116*F116)+(D117*F117)+(D118*F118),"")</f>
        <v/>
      </c>
      <c r="G119" s="67" t="str">
        <f>IFERROR(+(D113*G113)+(D114*G114)+(D115*G115)+(D116*G116)+(D117*G117)+(D118*G118),"")</f>
        <v/>
      </c>
      <c r="H119" s="67" t="str">
        <f>IFERROR(+(D113*H113)+(D114*H114)+(D115*H115)+(D116*H116)+(D117*H117)+(D118*H118),"")</f>
        <v/>
      </c>
      <c r="I119" s="67" t="str">
        <f>IFERROR(+(D113*I113)+(D114*I114)+(D115*I115)+(D116*I116)+(D117*I117)+(D118*I118),"")</f>
        <v/>
      </c>
      <c r="J119" s="67" t="str">
        <f>IFERROR(+(D113*J113)+(D114*J114)+(D115*J115)+(D116*J116)+(D117*J117)+(D118*J118),"")</f>
        <v/>
      </c>
      <c r="K119" s="67" t="str">
        <f>IFERROR(+(D113*K113)+(D114*K114)+(D115*K115)+(D116*K116)+(D117*K117)+(D118*K118),"")</f>
        <v/>
      </c>
      <c r="L119" s="67" t="str">
        <f>IFERROR(+(D113*L113)+(D114*L114)+(D115*L115)+(D116*L116)+(D117*L117)+(D118*L118),"")</f>
        <v/>
      </c>
      <c r="M119" s="67" t="str">
        <f>IFERROR(+(D113*M113)+(D114*M114)+(D115*M115)+(D116*M116)+(D117*M117)+(D118*M118),"")</f>
        <v/>
      </c>
      <c r="N119" s="67" t="str">
        <f>IFERROR(+(D113*N113)+(D114*N114)+(D115*N115)+(D116*N116)+(D117*N117)+(D118*N118),"")</f>
        <v/>
      </c>
      <c r="O119" s="67" t="str">
        <f>IFERROR(+(D113*O113)+(D114*O114)+(D115*O115)+(D116*O116)+(D117*O117)+(D118*O118),"")</f>
        <v/>
      </c>
      <c r="P119" s="67" t="str">
        <f>IFERROR(+(D113*P113)+(D114*P114)+(D115*P115)+(D116*P116)+(D117*P117)+(D118*P118),"")</f>
        <v/>
      </c>
      <c r="Q119" s="67" t="str">
        <f>IFERROR(+(D113*Q113)+(D114*Q114)+(D115*Q115)+(D116*Q116)+(D117*Q117)+(D118*Q118),"")</f>
        <v/>
      </c>
      <c r="R119" s="67" t="str">
        <f>IFERROR(+(D113*R113)+(D114*R114)+(D115*R115)+(D116*R116)+(D117*R117)+(D118*R118),"")</f>
        <v/>
      </c>
      <c r="S119" s="67" t="str">
        <f>IFERROR(+(D113*S113)+(D114*S114)+(D115*S115)+(D116*S116)+(D117*S117)+(D118*S118),"")</f>
        <v/>
      </c>
      <c r="T119" s="67" t="str">
        <f>IFERROR(+(D113*T113)+(D114*T114)+(D115*T115)+(D116*T116)+(D117*T117)+(D118*T118),"")</f>
        <v/>
      </c>
      <c r="U119" s="67" t="str">
        <f>IFERROR(+(D113*U113)+(D114*U114)+(D115*U115)+(D116*U116)+(D117*U117)+(D118*U118),"")</f>
        <v/>
      </c>
      <c r="V119" s="67" t="str">
        <f>IFERROR(+(D113*V113)+(D114*V114)+(D115*V115)+(D116*V116)+(D117*V117)+(D118*V118),"")</f>
        <v/>
      </c>
      <c r="W119" s="67" t="str">
        <f>IFERROR(+(D113*W113)+(D114*W114)+(D115*W115)+(D116*W116)+(D117*W117)+(D118*W118),"")</f>
        <v/>
      </c>
      <c r="X119" s="67" t="str">
        <f>IFERROR(+(D113*X113)+(D114*X114)+(D115*X115)+(D116*X116)+(D117*X117)+(D118*X118),"")</f>
        <v/>
      </c>
      <c r="Y119" s="67" t="str">
        <f>IFERROR(+(D113*Y113)+(D114*Y114)+(D115*Y115)+(D116*Y116)+(D117*Y117)+(D118*Y118),"")</f>
        <v/>
      </c>
      <c r="Z119" s="67" t="str">
        <f>IFERROR(+(D113*Z113)+(D114*Z114)+(D115*Z115)+(D116*Z116)+(D117*Z117)+(D118*Z118),"")</f>
        <v/>
      </c>
      <c r="AA119" s="67" t="str">
        <f>IFERROR(+(D113*AA113)+(D114*AA114)+(D115*AA115)+(D116*AA116)+(D117*AA117)+(D118*AA118),"")</f>
        <v/>
      </c>
      <c r="AB119" s="67" t="str">
        <f>IFERROR(+(D113*AB113)+(D114*AB114)+(D115*AB115)+(D116*AB116)+(D117*AB117)+(D118*AB118),"")</f>
        <v/>
      </c>
      <c r="AC119" s="67" t="str">
        <f>IFERROR(+(D113*AC113)+(D114*AC114)+(D115*AC115)+(D116*AC116)+(D117*AC117)+(D118*AC118),"")</f>
        <v/>
      </c>
      <c r="AD119" s="67" t="str">
        <f>IFERROR(+(D113*AD113)+(D114*AD114)+(D115*AD115)+(D116*AD116)+(D117*AD117)+(D118*AD118),"")</f>
        <v/>
      </c>
      <c r="AE119" s="67" t="str">
        <f>IFERROR(+(D113*AE113)+(D114*AE114)+(D115*AE115)+(D116*AE116)+(D117*AE117)+(D118*AE118),"")</f>
        <v/>
      </c>
      <c r="AF119" s="67" t="str">
        <f>IFERROR(+(D113*AF113)+(D114*AF114)+(D115*AF115)+(D116*AF116)+(D117*AF117)+(D118*AF118),"")</f>
        <v/>
      </c>
      <c r="AG119" s="67" t="str">
        <f>IFERROR(+(D113*AG113)+(D114*AG114)+(D115*AG115)+(D116*AG116)+(D117*AG117)+(D118*AG118),"")</f>
        <v/>
      </c>
      <c r="AH119" s="67" t="str">
        <f>IFERROR(+(D113*AH113)+(D114*AH114)+(D115*AH115)+(D116*AH116)+(D117*AH117)+(D118*AH118),"")</f>
        <v/>
      </c>
    </row>
    <row r="120" spans="1:34" ht="15.75" customHeight="1" thickBot="1">
      <c r="A120" s="56" t="str">
        <f>"Victim "&amp;'Factor Sheet'!A40&amp;" "&amp;'Factor Sheet'!B40</f>
        <v>Victim 15 0</v>
      </c>
      <c r="B120" s="57" t="s">
        <v>137</v>
      </c>
      <c r="C120" s="58"/>
      <c r="D120" s="58" t="e">
        <f>+'Factor Sheet'!C40</f>
        <v>#N/A</v>
      </c>
      <c r="E120" s="75"/>
      <c r="F120" s="75"/>
      <c r="G120" s="75"/>
      <c r="H120" s="75"/>
      <c r="I120" s="75"/>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row>
    <row r="121" spans="1:34" ht="15.75" customHeight="1" thickBot="1">
      <c r="A121" s="50"/>
      <c r="B121" s="51" t="s">
        <v>48</v>
      </c>
      <c r="C121" s="52"/>
      <c r="D121" s="52" t="e">
        <f>+'Factor Sheet'!D40</f>
        <v>#N/A</v>
      </c>
      <c r="E121" s="75"/>
      <c r="F121" s="75"/>
      <c r="G121" s="75"/>
      <c r="H121" s="75"/>
      <c r="I121" s="75"/>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row>
    <row r="122" spans="1:34" ht="15.75" customHeight="1" thickBot="1">
      <c r="A122" s="50"/>
      <c r="B122" s="51" t="s">
        <v>143</v>
      </c>
      <c r="C122" s="52"/>
      <c r="D122" s="52" t="e">
        <f>+'Factor Sheet'!E40</f>
        <v>#N/A</v>
      </c>
      <c r="E122" s="75"/>
      <c r="F122" s="75"/>
      <c r="G122" s="75"/>
      <c r="H122" s="75"/>
      <c r="I122" s="75"/>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row>
    <row r="123" spans="1:34" ht="15.75" customHeight="1" thickBot="1">
      <c r="A123" s="50"/>
      <c r="B123" s="51" t="s">
        <v>50</v>
      </c>
      <c r="C123" s="52"/>
      <c r="D123" s="52" t="e">
        <f>+'Factor Sheet'!F40</f>
        <v>#N/A</v>
      </c>
      <c r="E123" s="75"/>
      <c r="F123" s="75"/>
      <c r="G123" s="75"/>
      <c r="H123" s="75"/>
      <c r="I123" s="75"/>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row>
    <row r="124" spans="1:34" ht="15.75" customHeight="1" thickBot="1">
      <c r="A124" s="50"/>
      <c r="B124" s="51" t="s">
        <v>139</v>
      </c>
      <c r="C124" s="52"/>
      <c r="D124" s="52" t="e">
        <f>+'Factor Sheet'!G40</f>
        <v>#N/A</v>
      </c>
      <c r="E124" s="75"/>
      <c r="F124" s="75"/>
      <c r="G124" s="75"/>
      <c r="H124" s="75"/>
      <c r="I124" s="75"/>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row>
    <row r="125" spans="1:34" ht="15.75" customHeight="1" thickBot="1">
      <c r="A125" s="53"/>
      <c r="B125" s="54" t="s">
        <v>136</v>
      </c>
      <c r="C125" s="55"/>
      <c r="D125" s="55">
        <v>1</v>
      </c>
      <c r="E125" s="75"/>
      <c r="F125" s="75"/>
      <c r="G125" s="75"/>
      <c r="H125" s="75"/>
      <c r="I125" s="75"/>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row>
    <row r="126" spans="1:34" ht="15.75" customHeight="1" thickBot="1">
      <c r="A126" s="116" t="s">
        <v>145</v>
      </c>
      <c r="B126" s="117"/>
      <c r="C126" s="66"/>
      <c r="D126" s="67"/>
      <c r="E126" s="67" t="str">
        <f>IFERROR(+(D120*E120)+(D121*E121)+(D122*E122)+(D123*E123)+(D124*E124)+(D125*E125),"")</f>
        <v/>
      </c>
      <c r="F126" s="67" t="str">
        <f>IFERROR(+(D120*F120)+(D121*F121)+(D122*F122)+(D123*F123)+(D124*F124)+(D125*F125),"")</f>
        <v/>
      </c>
      <c r="G126" s="67" t="str">
        <f>IFERROR(+(D120*G120)+(D121*G121)+(D122*G122)+(D123*G123)+(D124*G124)+(D125*G125),"")</f>
        <v/>
      </c>
      <c r="H126" s="67" t="str">
        <f>IFERROR(+(D120*H120)+(D121*H121)+(D122*H122)+(D123*H123)+(D124*H124)+(D125*H125),"")</f>
        <v/>
      </c>
      <c r="I126" s="67" t="str">
        <f>IFERROR(+(D120*I120)+(D121*I121)+(D122*I122)+(D123*I123)+(D124*I124)+(D125*I125),"")</f>
        <v/>
      </c>
      <c r="J126" s="67" t="str">
        <f>IFERROR(+(D120*J120)+(D121*J121)+(D122*J122)+(D123*J123)+(D124*J124)+(D125*J125),"")</f>
        <v/>
      </c>
      <c r="K126" s="67" t="str">
        <f>IFERROR(+(D120*K120)+(D121*K121)+(D122*K122)+(D123*K123)+(D124*K124)+(D125*K125),"")</f>
        <v/>
      </c>
      <c r="L126" s="67" t="str">
        <f>IFERROR(+(D120*L120)+(D121*L121)+(D122*L122)+(D123*L123)+(D124*L124)+(D125*L125),"")</f>
        <v/>
      </c>
      <c r="M126" s="67" t="str">
        <f>IFERROR(+(D120*M120)+(D121*M121)+(D122*M122)+(D123*M123)+(D124*M124)+(D125*M125),"")</f>
        <v/>
      </c>
      <c r="N126" s="67" t="str">
        <f>IFERROR(+(D120*N120)+(D121*N121)+(D122*N122)+(D123*N123)+(D124*N124)+(D125*N125),"")</f>
        <v/>
      </c>
      <c r="O126" s="67" t="str">
        <f>IFERROR(+(D120*O120)+(D121*O121)+(D122*O122)+(D123*O123)+(D124*O124)+(D125*O125),"")</f>
        <v/>
      </c>
      <c r="P126" s="67" t="str">
        <f>IFERROR(+(D120*P120)+(D121*P121)+(D122*P122)+(D123*P123)+(D124*P124)+(D125*P125),"")</f>
        <v/>
      </c>
      <c r="Q126" s="67" t="str">
        <f>IFERROR(+(D120*Q120)+(D121*Q121)+(D122*Q122)+(D123*Q123)+(D124*Q124)+(D125*Q125),"")</f>
        <v/>
      </c>
      <c r="R126" s="67" t="str">
        <f>IFERROR(+(D120*R120)+(D121*R121)+(D122*R122)+(D123*R123)+(D124*R124)+(D125*R125),"")</f>
        <v/>
      </c>
      <c r="S126" s="67" t="str">
        <f>IFERROR(+(D120*S120)+(D121*S121)+(D122*S122)+(D123*S123)+(D124*S124)+(D125*S125),"")</f>
        <v/>
      </c>
      <c r="T126" s="67" t="str">
        <f>IFERROR(+(D120*T120)+(D121*T121)+(D122*T122)+(D123*T123)+(D124*T124)+(D125*T125),"")</f>
        <v/>
      </c>
      <c r="U126" s="67" t="str">
        <f>IFERROR(+(D120*U120)+(D121*U121)+(D122*U122)+(D123*U123)+(D124*U124)+(D125*U125),"")</f>
        <v/>
      </c>
      <c r="V126" s="67" t="str">
        <f>IFERROR(+(D120*V120)+(D121*V121)+(D122*V122)+(D123*V123)+(D124*V124)+(D125*V125),"")</f>
        <v/>
      </c>
      <c r="W126" s="67" t="str">
        <f>IFERROR(+(D120*W120)+(D121*W121)+(D122*W122)+(D123*W123)+(D124*W124)+(D125*W125),"")</f>
        <v/>
      </c>
      <c r="X126" s="67" t="str">
        <f>IFERROR(+(D120*X120)+(D121*X121)+(D122*X122)+(D123*X123)+(D124*X124)+(D125*X125),"")</f>
        <v/>
      </c>
      <c r="Y126" s="67" t="str">
        <f>IFERROR(+(D120*Y120)+(D121*Y121)+(D122*Y122)+(D123*Y123)+(D124*Y124)+(D125*Y125),"")</f>
        <v/>
      </c>
      <c r="Z126" s="67" t="str">
        <f>IFERROR(+(D120*Z120)+(D121*Z121)+(D122*Z122)+(D123*Z123)+(D124*Z124)+(D125*Z125),"")</f>
        <v/>
      </c>
      <c r="AA126" s="67" t="str">
        <f>IFERROR(+(D120*AA120)+(D121*AA121)+(D122*AA122)+(D123*AA123)+(D124*AA124)+(D125*AA125),"")</f>
        <v/>
      </c>
      <c r="AB126" s="67" t="str">
        <f>IFERROR(+(D120*AB120)+(D121*AB121)+(D122*AB122)+(D123*AB123)+(D124*AB124)+(D125*AB125),"")</f>
        <v/>
      </c>
      <c r="AC126" s="67" t="str">
        <f>IFERROR(+(D120*AC120)+(D121*AC121)+(D122*AC122)+(D123*AC123)+(D124*AC124)+(D125*AC125),"")</f>
        <v/>
      </c>
      <c r="AD126" s="67" t="str">
        <f>IFERROR(+(D120*AD120)+(D121*AD121)+(D122*AD122)+(D123*AD123)+(D124*AD124)+(D125*AD125),"")</f>
        <v/>
      </c>
      <c r="AE126" s="67" t="str">
        <f>IFERROR(+(D120*AE120)+(D121*AE121)+(D122*AE122)+(D123*AE123)+(D124*AE124)+(D125*AE125),"")</f>
        <v/>
      </c>
      <c r="AF126" s="67" t="str">
        <f>IFERROR(+(D120*AF120)+(D121*AF121)+(D122*AF122)+(D123*AF123)+(D124*AF124)+(D125*AF125),"")</f>
        <v/>
      </c>
      <c r="AG126" s="67" t="str">
        <f>IFERROR(+(D120*AG120)+(D121*AG121)+(D122*AG122)+(D123*AG123)+(D124*AG124)+(D125*AG125),"")</f>
        <v/>
      </c>
      <c r="AH126" s="67" t="str">
        <f>IFERROR(+(D120*AH120)+(D121*AH121)+(D122*AH122)+(D123*AH123)+(D124*AH124)+(D125*AH125),"")</f>
        <v/>
      </c>
    </row>
    <row r="127" spans="1:34" ht="15.75" customHeight="1">
      <c r="A127"/>
      <c r="B127" s="59"/>
      <c r="E127"/>
      <c r="F127"/>
      <c r="G127"/>
      <c r="H127"/>
      <c r="I127"/>
      <c r="J127"/>
      <c r="K127"/>
      <c r="L127"/>
      <c r="M127"/>
      <c r="N127"/>
      <c r="O127"/>
      <c r="P127"/>
      <c r="Q127"/>
      <c r="R127"/>
      <c r="S127"/>
      <c r="T127"/>
      <c r="U127"/>
      <c r="V127"/>
      <c r="W127"/>
      <c r="X127"/>
      <c r="Y127"/>
      <c r="Z127"/>
      <c r="AA127"/>
      <c r="AB127"/>
      <c r="AC127"/>
      <c r="AD127"/>
      <c r="AE127"/>
      <c r="AG127"/>
    </row>
    <row r="128" spans="1:34" ht="15.75" customHeight="1">
      <c r="A128"/>
      <c r="B128" s="59"/>
      <c r="E128"/>
      <c r="F128"/>
      <c r="G128"/>
      <c r="H128"/>
      <c r="I128"/>
      <c r="J128"/>
      <c r="K128"/>
      <c r="L128"/>
      <c r="M128"/>
      <c r="N128"/>
      <c r="O128"/>
      <c r="P128"/>
      <c r="Q128"/>
      <c r="R128"/>
      <c r="S128"/>
      <c r="T128"/>
      <c r="U128"/>
      <c r="V128"/>
      <c r="W128"/>
      <c r="X128"/>
      <c r="Y128"/>
      <c r="Z128"/>
      <c r="AA128"/>
      <c r="AB128"/>
      <c r="AC128"/>
      <c r="AD128"/>
      <c r="AE128"/>
      <c r="AG128"/>
    </row>
    <row r="129" spans="2:2" customFormat="1" ht="15.75" customHeight="1">
      <c r="B129" s="59"/>
    </row>
    <row r="130" spans="2:2" customFormat="1" ht="15.75" customHeight="1">
      <c r="B130" s="59"/>
    </row>
    <row r="131" spans="2:2" customFormat="1" ht="15.75" customHeight="1">
      <c r="B131" s="59"/>
    </row>
    <row r="132" spans="2:2" customFormat="1" ht="15.75" customHeight="1">
      <c r="B132" s="59"/>
    </row>
    <row r="133" spans="2:2" customFormat="1" ht="15.75" customHeight="1">
      <c r="B133" s="59"/>
    </row>
    <row r="134" spans="2:2" customFormat="1" ht="15.75" customHeight="1">
      <c r="B134" s="59"/>
    </row>
    <row r="135" spans="2:2" customFormat="1" ht="15.75" customHeight="1">
      <c r="B135" s="59"/>
    </row>
    <row r="136" spans="2:2" customFormat="1" ht="15.75" customHeight="1">
      <c r="B136" s="59"/>
    </row>
    <row r="137" spans="2:2" customFormat="1" ht="15.75" customHeight="1">
      <c r="B137" s="59"/>
    </row>
    <row r="138" spans="2:2" customFormat="1" ht="15.75" customHeight="1">
      <c r="B138" s="59"/>
    </row>
    <row r="139" spans="2:2" customFormat="1" ht="15.75" customHeight="1">
      <c r="B139" s="59"/>
    </row>
    <row r="140" spans="2:2" customFormat="1" ht="15.75" customHeight="1">
      <c r="B140" s="59"/>
    </row>
    <row r="141" spans="2:2" customFormat="1" ht="15.75" customHeight="1">
      <c r="B141" s="59"/>
    </row>
    <row r="142" spans="2:2" customFormat="1" ht="15.75" customHeight="1">
      <c r="B142" s="59"/>
    </row>
    <row r="143" spans="2:2" customFormat="1" ht="15.75" customHeight="1">
      <c r="B143" s="59"/>
    </row>
    <row r="144" spans="2:2" customFormat="1" ht="15.75" customHeight="1">
      <c r="B144" s="59"/>
    </row>
    <row r="145" spans="2:2" customFormat="1" ht="15.75" customHeight="1">
      <c r="B145" s="59"/>
    </row>
    <row r="146" spans="2:2" customFormat="1" ht="15.75" customHeight="1">
      <c r="B146" s="59"/>
    </row>
    <row r="147" spans="2:2" customFormat="1" ht="15.75" customHeight="1">
      <c r="B147" s="59"/>
    </row>
    <row r="148" spans="2:2" customFormat="1" ht="15.75" customHeight="1">
      <c r="B148" s="59"/>
    </row>
    <row r="149" spans="2:2" customFormat="1" ht="15.75" customHeight="1">
      <c r="B149" s="59"/>
    </row>
    <row r="150" spans="2:2" customFormat="1" ht="15.75" customHeight="1">
      <c r="B150" s="59"/>
    </row>
    <row r="151" spans="2:2" customFormat="1" ht="15.75" customHeight="1">
      <c r="B151" s="59"/>
    </row>
    <row r="152" spans="2:2" customFormat="1" ht="15.75" customHeight="1">
      <c r="B152" s="59"/>
    </row>
    <row r="153" spans="2:2" customFormat="1" ht="15.75" customHeight="1">
      <c r="B153" s="59"/>
    </row>
    <row r="154" spans="2:2" customFormat="1" ht="15.75" customHeight="1">
      <c r="B154" s="59"/>
    </row>
    <row r="155" spans="2:2" customFormat="1" ht="15.75" customHeight="1">
      <c r="B155" s="59"/>
    </row>
    <row r="156" spans="2:2" customFormat="1" ht="15.75" customHeight="1">
      <c r="B156" s="59"/>
    </row>
    <row r="157" spans="2:2" customFormat="1" ht="15.75" customHeight="1">
      <c r="B157" s="59"/>
    </row>
    <row r="158" spans="2:2" customFormat="1" ht="15.75" customHeight="1">
      <c r="B158" s="59"/>
    </row>
    <row r="159" spans="2:2" customFormat="1" ht="15.75" customHeight="1">
      <c r="B159" s="59"/>
    </row>
    <row r="160" spans="2:2" customFormat="1" ht="15.75" customHeight="1">
      <c r="B160" s="59"/>
    </row>
    <row r="161" spans="2:2" customFormat="1" ht="15.75" customHeight="1">
      <c r="B161" s="59"/>
    </row>
    <row r="162" spans="2:2" customFormat="1" ht="15.75" customHeight="1">
      <c r="B162" s="59"/>
    </row>
    <row r="163" spans="2:2" customFormat="1" ht="15.75" customHeight="1">
      <c r="B163" s="59"/>
    </row>
    <row r="164" spans="2:2" customFormat="1" ht="15.75" customHeight="1">
      <c r="B164" s="59"/>
    </row>
    <row r="165" spans="2:2" customFormat="1" ht="15.75" customHeight="1">
      <c r="B165" s="59"/>
    </row>
    <row r="166" spans="2:2" customFormat="1" ht="15.75" customHeight="1">
      <c r="B166" s="59"/>
    </row>
    <row r="167" spans="2:2" customFormat="1" ht="15.75" customHeight="1">
      <c r="B167" s="59"/>
    </row>
    <row r="168" spans="2:2" customFormat="1" ht="15.75" customHeight="1">
      <c r="B168" s="59"/>
    </row>
    <row r="169" spans="2:2" customFormat="1" ht="15.75" customHeight="1">
      <c r="B169" s="59"/>
    </row>
    <row r="170" spans="2:2" customFormat="1" ht="15.75" customHeight="1">
      <c r="B170" s="59"/>
    </row>
    <row r="171" spans="2:2" customFormat="1" ht="15.75" customHeight="1">
      <c r="B171" s="59"/>
    </row>
    <row r="172" spans="2:2" customFormat="1" ht="15.75" customHeight="1">
      <c r="B172" s="59"/>
    </row>
    <row r="173" spans="2:2" customFormat="1" ht="15.75" customHeight="1">
      <c r="B173" s="59"/>
    </row>
    <row r="174" spans="2:2" customFormat="1" ht="15.75" customHeight="1">
      <c r="B174" s="59"/>
    </row>
    <row r="175" spans="2:2" customFormat="1" ht="15.75" customHeight="1">
      <c r="B175" s="59"/>
    </row>
    <row r="176" spans="2:2" customFormat="1" ht="15.75" customHeight="1">
      <c r="B176" s="59"/>
    </row>
    <row r="177" spans="2:2" customFormat="1" ht="15.75" customHeight="1">
      <c r="B177" s="59"/>
    </row>
    <row r="178" spans="2:2" customFormat="1" ht="15.75" customHeight="1">
      <c r="B178" s="59"/>
    </row>
    <row r="179" spans="2:2" customFormat="1" ht="15.75" customHeight="1">
      <c r="B179" s="59"/>
    </row>
    <row r="180" spans="2:2" customFormat="1" ht="15.75" customHeight="1">
      <c r="B180" s="59"/>
    </row>
    <row r="181" spans="2:2" customFormat="1" ht="15.75" customHeight="1">
      <c r="B181" s="59"/>
    </row>
    <row r="182" spans="2:2" customFormat="1" ht="15.75" customHeight="1">
      <c r="B182" s="59"/>
    </row>
    <row r="183" spans="2:2" customFormat="1" ht="15.75" customHeight="1">
      <c r="B183" s="59"/>
    </row>
    <row r="184" spans="2:2" customFormat="1" ht="15.75" customHeight="1">
      <c r="B184" s="59"/>
    </row>
    <row r="185" spans="2:2" customFormat="1" ht="15.75" customHeight="1">
      <c r="B185" s="59"/>
    </row>
    <row r="186" spans="2:2" customFormat="1" ht="15.75" customHeight="1">
      <c r="B186" s="59"/>
    </row>
    <row r="187" spans="2:2" customFormat="1" ht="15.75" customHeight="1">
      <c r="B187" s="59"/>
    </row>
    <row r="188" spans="2:2" customFormat="1" ht="15.75" customHeight="1">
      <c r="B188" s="59"/>
    </row>
    <row r="189" spans="2:2" customFormat="1" ht="15.75" customHeight="1">
      <c r="B189" s="59"/>
    </row>
    <row r="190" spans="2:2" customFormat="1" ht="15.75" customHeight="1">
      <c r="B190" s="59"/>
    </row>
    <row r="191" spans="2:2" customFormat="1" ht="15.75" customHeight="1">
      <c r="B191" s="59"/>
    </row>
    <row r="192" spans="2:2" customFormat="1" ht="15.75" customHeight="1">
      <c r="B192" s="59"/>
    </row>
    <row r="193" spans="2:2" customFormat="1" ht="15.75" customHeight="1">
      <c r="B193" s="59"/>
    </row>
    <row r="194" spans="2:2" customFormat="1" ht="15.75" customHeight="1">
      <c r="B194" s="59"/>
    </row>
    <row r="195" spans="2:2" customFormat="1" ht="15.75" customHeight="1">
      <c r="B195" s="59"/>
    </row>
    <row r="196" spans="2:2" customFormat="1" ht="15.75" customHeight="1">
      <c r="B196" s="59"/>
    </row>
    <row r="197" spans="2:2" customFormat="1" ht="15.75" customHeight="1">
      <c r="B197" s="59"/>
    </row>
    <row r="198" spans="2:2" customFormat="1" ht="15.75" customHeight="1">
      <c r="B198" s="59"/>
    </row>
    <row r="199" spans="2:2" customFormat="1" ht="15.75" customHeight="1">
      <c r="B199" s="59"/>
    </row>
    <row r="200" spans="2:2" customFormat="1" ht="15.75" customHeight="1">
      <c r="B200" s="59"/>
    </row>
    <row r="201" spans="2:2" customFormat="1" ht="15.75" customHeight="1">
      <c r="B201" s="59"/>
    </row>
    <row r="202" spans="2:2" customFormat="1" ht="15.75" customHeight="1">
      <c r="B202" s="59"/>
    </row>
    <row r="203" spans="2:2" customFormat="1" ht="15.75" customHeight="1">
      <c r="B203" s="59"/>
    </row>
    <row r="204" spans="2:2" customFormat="1" ht="15.75" customHeight="1">
      <c r="B204" s="59"/>
    </row>
    <row r="205" spans="2:2" customFormat="1" ht="15.75" customHeight="1">
      <c r="B205" s="59"/>
    </row>
    <row r="206" spans="2:2" customFormat="1" ht="15.75" customHeight="1">
      <c r="B206" s="59"/>
    </row>
    <row r="207" spans="2:2" customFormat="1" ht="15.75" customHeight="1">
      <c r="B207" s="59"/>
    </row>
    <row r="208" spans="2:2" customFormat="1" ht="15.75" customHeight="1">
      <c r="B208" s="59"/>
    </row>
    <row r="209" spans="2:2" customFormat="1" ht="15.75" customHeight="1">
      <c r="B209" s="59"/>
    </row>
    <row r="210" spans="2:2" customFormat="1" ht="15.75" customHeight="1">
      <c r="B210" s="59"/>
    </row>
    <row r="211" spans="2:2" customFormat="1" ht="15.75" customHeight="1">
      <c r="B211" s="59"/>
    </row>
    <row r="212" spans="2:2" customFormat="1" ht="15.75" customHeight="1">
      <c r="B212" s="59"/>
    </row>
    <row r="213" spans="2:2" customFormat="1" ht="15.75" customHeight="1">
      <c r="B213" s="59"/>
    </row>
    <row r="214" spans="2:2" customFormat="1" ht="15.75" customHeight="1">
      <c r="B214" s="59"/>
    </row>
    <row r="215" spans="2:2" customFormat="1" ht="15.75" customHeight="1">
      <c r="B215" s="59"/>
    </row>
    <row r="216" spans="2:2" customFormat="1" ht="15.75" customHeight="1">
      <c r="B216" s="59"/>
    </row>
    <row r="217" spans="2:2" customFormat="1" ht="15.75" customHeight="1">
      <c r="B217" s="59"/>
    </row>
    <row r="218" spans="2:2" customFormat="1" ht="15.75" customHeight="1">
      <c r="B218" s="59"/>
    </row>
    <row r="219" spans="2:2" customFormat="1" ht="15.75" customHeight="1">
      <c r="B219" s="59"/>
    </row>
    <row r="220" spans="2:2" customFormat="1" ht="15.75" customHeight="1">
      <c r="B220" s="59"/>
    </row>
    <row r="221" spans="2:2" customFormat="1" ht="15.75" customHeight="1">
      <c r="B221" s="59"/>
    </row>
    <row r="222" spans="2:2" customFormat="1" ht="15.75" customHeight="1">
      <c r="B222" s="59"/>
    </row>
    <row r="223" spans="2:2" customFormat="1" ht="15.75" customHeight="1">
      <c r="B223" s="59"/>
    </row>
    <row r="224" spans="2:2" customFormat="1" ht="15.75" customHeight="1">
      <c r="B224" s="59"/>
    </row>
    <row r="225" spans="2:2" customFormat="1" ht="15.75" customHeight="1">
      <c r="B225" s="59"/>
    </row>
    <row r="226" spans="2:2" customFormat="1" ht="15.75" customHeight="1">
      <c r="B226" s="59"/>
    </row>
    <row r="227" spans="2:2" customFormat="1" ht="15.75" customHeight="1">
      <c r="B227" s="59"/>
    </row>
    <row r="228" spans="2:2" customFormat="1" ht="15.75" customHeight="1">
      <c r="B228" s="59"/>
    </row>
    <row r="229" spans="2:2" customFormat="1" ht="15.75" customHeight="1">
      <c r="B229" s="59"/>
    </row>
    <row r="230" spans="2:2" customFormat="1" ht="15.75" customHeight="1">
      <c r="B230" s="59"/>
    </row>
    <row r="231" spans="2:2" customFormat="1" ht="15.75" customHeight="1">
      <c r="B231" s="59"/>
    </row>
    <row r="232" spans="2:2" customFormat="1" ht="15.75" customHeight="1">
      <c r="B232" s="59"/>
    </row>
    <row r="233" spans="2:2" customFormat="1" ht="15.75" customHeight="1">
      <c r="B233" s="59"/>
    </row>
    <row r="234" spans="2:2" customFormat="1" ht="15.75" customHeight="1">
      <c r="B234" s="59"/>
    </row>
    <row r="235" spans="2:2" customFormat="1" ht="15.75" customHeight="1">
      <c r="B235" s="59"/>
    </row>
    <row r="236" spans="2:2" customFormat="1" ht="15.75" customHeight="1">
      <c r="B236" s="59"/>
    </row>
    <row r="237" spans="2:2" customFormat="1" ht="15.75" customHeight="1">
      <c r="B237" s="59"/>
    </row>
    <row r="238" spans="2:2" customFormat="1" ht="15.75" customHeight="1">
      <c r="B238" s="59"/>
    </row>
    <row r="239" spans="2:2" customFormat="1" ht="15.75" customHeight="1">
      <c r="B239" s="59"/>
    </row>
    <row r="240" spans="2:2" customFormat="1" ht="15.75" customHeight="1">
      <c r="B240" s="59"/>
    </row>
    <row r="241" spans="2:2" customFormat="1" ht="15.75" customHeight="1">
      <c r="B241" s="59"/>
    </row>
    <row r="242" spans="2:2" customFormat="1" ht="15.75" customHeight="1">
      <c r="B242" s="59"/>
    </row>
    <row r="243" spans="2:2" customFormat="1" ht="15.75" customHeight="1">
      <c r="B243" s="59"/>
    </row>
    <row r="244" spans="2:2" customFormat="1" ht="15.75" customHeight="1">
      <c r="B244" s="59"/>
    </row>
    <row r="245" spans="2:2" customFormat="1" ht="15.75" customHeight="1">
      <c r="B245" s="59"/>
    </row>
    <row r="246" spans="2:2" customFormat="1" ht="15.75" customHeight="1">
      <c r="B246" s="59"/>
    </row>
    <row r="247" spans="2:2" customFormat="1" ht="15.75" customHeight="1">
      <c r="B247" s="59"/>
    </row>
    <row r="248" spans="2:2" customFormat="1" ht="15.75" customHeight="1">
      <c r="B248" s="59"/>
    </row>
    <row r="249" spans="2:2" customFormat="1" ht="15.75" customHeight="1">
      <c r="B249" s="59"/>
    </row>
    <row r="250" spans="2:2" customFormat="1" ht="15.75" customHeight="1">
      <c r="B250" s="59"/>
    </row>
    <row r="251" spans="2:2" customFormat="1" ht="15.75" customHeight="1">
      <c r="B251" s="59"/>
    </row>
    <row r="252" spans="2:2" customFormat="1" ht="15.75" customHeight="1">
      <c r="B252" s="59"/>
    </row>
    <row r="253" spans="2:2" customFormat="1" ht="15.75" customHeight="1">
      <c r="B253" s="59"/>
    </row>
    <row r="254" spans="2:2" customFormat="1" ht="15.75" customHeight="1">
      <c r="B254" s="59"/>
    </row>
    <row r="255" spans="2:2" customFormat="1" ht="15.75" customHeight="1">
      <c r="B255" s="59"/>
    </row>
    <row r="256" spans="2:2" customFormat="1" ht="15.75" customHeight="1">
      <c r="B256" s="59"/>
    </row>
    <row r="257" spans="2:2" customFormat="1" ht="15.75" customHeight="1">
      <c r="B257" s="59"/>
    </row>
    <row r="258" spans="2:2" customFormat="1" ht="15.75" customHeight="1">
      <c r="B258" s="59"/>
    </row>
    <row r="259" spans="2:2" customFormat="1" ht="15.75" customHeight="1">
      <c r="B259" s="59"/>
    </row>
    <row r="260" spans="2:2" customFormat="1" ht="15.75" customHeight="1">
      <c r="B260" s="59"/>
    </row>
    <row r="261" spans="2:2" customFormat="1" ht="15.75" customHeight="1">
      <c r="B261" s="59"/>
    </row>
    <row r="262" spans="2:2" customFormat="1" ht="15.75" customHeight="1">
      <c r="B262" s="59"/>
    </row>
    <row r="263" spans="2:2" customFormat="1" ht="15.75" customHeight="1">
      <c r="B263" s="59"/>
    </row>
    <row r="264" spans="2:2" customFormat="1" ht="15.75" customHeight="1">
      <c r="B264" s="59"/>
    </row>
    <row r="265" spans="2:2" customFormat="1" ht="15.75" customHeight="1">
      <c r="B265" s="59"/>
    </row>
    <row r="266" spans="2:2" customFormat="1" ht="15.75" customHeight="1">
      <c r="B266" s="59"/>
    </row>
    <row r="267" spans="2:2" customFormat="1" ht="15.75" customHeight="1">
      <c r="B267" s="59"/>
    </row>
    <row r="268" spans="2:2" customFormat="1" ht="15.75" customHeight="1">
      <c r="B268" s="59"/>
    </row>
    <row r="269" spans="2:2" customFormat="1" ht="15.75" customHeight="1">
      <c r="B269" s="59"/>
    </row>
    <row r="270" spans="2:2" customFormat="1" ht="15.75" customHeight="1">
      <c r="B270" s="59"/>
    </row>
    <row r="271" spans="2:2" customFormat="1" ht="15.75" customHeight="1">
      <c r="B271" s="59"/>
    </row>
    <row r="272" spans="2:2" customFormat="1" ht="15.75" customHeight="1">
      <c r="B272" s="59"/>
    </row>
    <row r="273" spans="2:2" customFormat="1" ht="15.75" customHeight="1">
      <c r="B273" s="59"/>
    </row>
    <row r="274" spans="2:2" customFormat="1" ht="15.75" customHeight="1">
      <c r="B274" s="59"/>
    </row>
    <row r="275" spans="2:2" customFormat="1" ht="15.75" customHeight="1">
      <c r="B275" s="59"/>
    </row>
    <row r="276" spans="2:2" customFormat="1" ht="15.75" customHeight="1">
      <c r="B276" s="59"/>
    </row>
    <row r="277" spans="2:2" customFormat="1" ht="15.75" customHeight="1">
      <c r="B277" s="59"/>
    </row>
    <row r="278" spans="2:2" customFormat="1" ht="15.75" customHeight="1">
      <c r="B278" s="59"/>
    </row>
    <row r="279" spans="2:2" customFormat="1" ht="15.75" customHeight="1">
      <c r="B279" s="59"/>
    </row>
    <row r="280" spans="2:2" customFormat="1" ht="15.75" customHeight="1">
      <c r="B280" s="59"/>
    </row>
    <row r="281" spans="2:2" customFormat="1" ht="15.75" customHeight="1">
      <c r="B281" s="59"/>
    </row>
    <row r="282" spans="2:2" customFormat="1" ht="15.75" customHeight="1">
      <c r="B282" s="59"/>
    </row>
    <row r="283" spans="2:2" customFormat="1" ht="15.75" customHeight="1">
      <c r="B283" s="59"/>
    </row>
    <row r="284" spans="2:2" customFormat="1" ht="15.75" customHeight="1">
      <c r="B284" s="59"/>
    </row>
    <row r="285" spans="2:2" customFormat="1" ht="15.75" customHeight="1">
      <c r="B285" s="59"/>
    </row>
    <row r="286" spans="2:2" customFormat="1" ht="15.75" customHeight="1">
      <c r="B286" s="59"/>
    </row>
    <row r="287" spans="2:2" customFormat="1" ht="15.75" customHeight="1">
      <c r="B287" s="59"/>
    </row>
    <row r="288" spans="2:2" customFormat="1" ht="15.75" customHeight="1">
      <c r="B288" s="59"/>
    </row>
    <row r="289" spans="2:2" customFormat="1" ht="15.75" customHeight="1">
      <c r="B289" s="59"/>
    </row>
    <row r="290" spans="2:2" customFormat="1" ht="15.75" customHeight="1">
      <c r="B290" s="59"/>
    </row>
    <row r="291" spans="2:2" customFormat="1" ht="15.75" customHeight="1">
      <c r="B291" s="59"/>
    </row>
    <row r="292" spans="2:2" customFormat="1" ht="15.75" customHeight="1">
      <c r="B292" s="59"/>
    </row>
    <row r="293" spans="2:2" customFormat="1" ht="15.75" customHeight="1">
      <c r="B293" s="59"/>
    </row>
    <row r="294" spans="2:2" customFormat="1" ht="15.75" customHeight="1">
      <c r="B294" s="59"/>
    </row>
    <row r="295" spans="2:2" customFormat="1" ht="15.75" customHeight="1">
      <c r="B295" s="59"/>
    </row>
    <row r="296" spans="2:2" customFormat="1" ht="15.75" customHeight="1">
      <c r="B296" s="59"/>
    </row>
    <row r="297" spans="2:2" customFormat="1" ht="15.75" customHeight="1">
      <c r="B297" s="59"/>
    </row>
    <row r="298" spans="2:2" customFormat="1" ht="15.75" customHeight="1">
      <c r="B298" s="59"/>
    </row>
    <row r="299" spans="2:2" customFormat="1" ht="15.75" customHeight="1">
      <c r="B299" s="59"/>
    </row>
    <row r="300" spans="2:2" customFormat="1" ht="15.75" customHeight="1">
      <c r="B300" s="59"/>
    </row>
    <row r="301" spans="2:2" customFormat="1" ht="15.75" customHeight="1">
      <c r="B301" s="59"/>
    </row>
    <row r="302" spans="2:2" customFormat="1" ht="15.75" customHeight="1">
      <c r="B302" s="59"/>
    </row>
    <row r="303" spans="2:2" customFormat="1" ht="15.75" customHeight="1">
      <c r="B303" s="59"/>
    </row>
    <row r="304" spans="2:2" customFormat="1" ht="15.75" customHeight="1">
      <c r="B304" s="59"/>
    </row>
    <row r="305" spans="2:2" customFormat="1" ht="15.75" customHeight="1">
      <c r="B305" s="59"/>
    </row>
    <row r="306" spans="2:2" customFormat="1" ht="15.75" customHeight="1">
      <c r="B306" s="59"/>
    </row>
    <row r="307" spans="2:2" customFormat="1" ht="15.75" customHeight="1">
      <c r="B307" s="59"/>
    </row>
    <row r="308" spans="2:2" customFormat="1" ht="15.75" customHeight="1">
      <c r="B308" s="59"/>
    </row>
    <row r="309" spans="2:2" customFormat="1" ht="15.75" customHeight="1">
      <c r="B309" s="59"/>
    </row>
    <row r="310" spans="2:2" customFormat="1" ht="15.75" customHeight="1">
      <c r="B310" s="59"/>
    </row>
    <row r="311" spans="2:2" customFormat="1" ht="15.75" customHeight="1">
      <c r="B311" s="59"/>
    </row>
    <row r="312" spans="2:2" customFormat="1" ht="15.75" customHeight="1">
      <c r="B312" s="59"/>
    </row>
    <row r="313" spans="2:2" customFormat="1" ht="15.75" customHeight="1">
      <c r="B313" s="59"/>
    </row>
    <row r="314" spans="2:2" customFormat="1" ht="15.75" customHeight="1">
      <c r="B314" s="59"/>
    </row>
    <row r="315" spans="2:2" customFormat="1" ht="15.75" customHeight="1">
      <c r="B315" s="59"/>
    </row>
    <row r="316" spans="2:2" customFormat="1" ht="15.75" customHeight="1">
      <c r="B316" s="59"/>
    </row>
    <row r="317" spans="2:2" customFormat="1" ht="15.75" customHeight="1">
      <c r="B317" s="59"/>
    </row>
    <row r="318" spans="2:2" customFormat="1" ht="15.75" customHeight="1">
      <c r="B318" s="59"/>
    </row>
    <row r="319" spans="2:2" customFormat="1" ht="15.75" customHeight="1">
      <c r="B319" s="59"/>
    </row>
    <row r="320" spans="2:2" customFormat="1" ht="15.75" customHeight="1">
      <c r="B320" s="59"/>
    </row>
    <row r="321" spans="2:2" customFormat="1" ht="15.75" customHeight="1">
      <c r="B321" s="59"/>
    </row>
    <row r="322" spans="2:2" customFormat="1" ht="15.75" customHeight="1">
      <c r="B322" s="59"/>
    </row>
    <row r="323" spans="2:2" customFormat="1" ht="15.75" customHeight="1">
      <c r="B323" s="59"/>
    </row>
    <row r="324" spans="2:2" customFormat="1" ht="15.75" customHeight="1">
      <c r="B324" s="59"/>
    </row>
    <row r="325" spans="2:2" customFormat="1" ht="15.75" customHeight="1">
      <c r="B325" s="59"/>
    </row>
    <row r="326" spans="2:2" customFormat="1" ht="15.75" customHeight="1">
      <c r="B326" s="59"/>
    </row>
    <row r="327" spans="2:2" customFormat="1" ht="15.75" customHeight="1">
      <c r="B327" s="59"/>
    </row>
    <row r="328" spans="2:2" customFormat="1" ht="15.75" customHeight="1">
      <c r="B328" s="59"/>
    </row>
    <row r="329" spans="2:2" customFormat="1" ht="15.75" customHeight="1">
      <c r="B329" s="59"/>
    </row>
    <row r="330" spans="2:2" customFormat="1" ht="15.75" customHeight="1">
      <c r="B330" s="59"/>
    </row>
    <row r="331" spans="2:2" customFormat="1" ht="15.75" customHeight="1">
      <c r="B331" s="59"/>
    </row>
    <row r="332" spans="2:2" customFormat="1" ht="15.75" customHeight="1">
      <c r="B332" s="59"/>
    </row>
    <row r="333" spans="2:2" customFormat="1" ht="15.75" customHeight="1">
      <c r="B333" s="59"/>
    </row>
    <row r="334" spans="2:2" customFormat="1" ht="15.75" customHeight="1">
      <c r="B334" s="59"/>
    </row>
    <row r="335" spans="2:2" customFormat="1" ht="15.75" customHeight="1">
      <c r="B335" s="59"/>
    </row>
    <row r="336" spans="2:2" customFormat="1" ht="15.75" customHeight="1">
      <c r="B336" s="59"/>
    </row>
    <row r="337" spans="2:2" customFormat="1" ht="15.75" customHeight="1">
      <c r="B337" s="59"/>
    </row>
    <row r="338" spans="2:2" customFormat="1" ht="15.75" customHeight="1">
      <c r="B338" s="59"/>
    </row>
    <row r="339" spans="2:2" customFormat="1" ht="15.75" customHeight="1">
      <c r="B339" s="59"/>
    </row>
    <row r="340" spans="2:2" customFormat="1" ht="15.75" customHeight="1">
      <c r="B340" s="59"/>
    </row>
    <row r="341" spans="2:2" customFormat="1" ht="15.75" customHeight="1">
      <c r="B341" s="59"/>
    </row>
    <row r="342" spans="2:2" customFormat="1" ht="15.75" customHeight="1">
      <c r="B342" s="59"/>
    </row>
    <row r="343" spans="2:2" customFormat="1" ht="15.75" customHeight="1">
      <c r="B343" s="59"/>
    </row>
    <row r="344" spans="2:2" customFormat="1" ht="15.75" customHeight="1">
      <c r="B344" s="59"/>
    </row>
    <row r="345" spans="2:2" customFormat="1" ht="15.75" customHeight="1">
      <c r="B345" s="59"/>
    </row>
    <row r="346" spans="2:2" customFormat="1" ht="15.75" customHeight="1">
      <c r="B346" s="59"/>
    </row>
    <row r="347" spans="2:2" customFormat="1" ht="15.75" customHeight="1">
      <c r="B347" s="59"/>
    </row>
    <row r="348" spans="2:2" customFormat="1" ht="15.75" customHeight="1">
      <c r="B348" s="59"/>
    </row>
    <row r="349" spans="2:2" customFormat="1" ht="15.75" customHeight="1">
      <c r="B349" s="59"/>
    </row>
    <row r="350" spans="2:2" customFormat="1" ht="15.75" customHeight="1">
      <c r="B350" s="59"/>
    </row>
    <row r="351" spans="2:2" customFormat="1" ht="15.75" customHeight="1">
      <c r="B351" s="59"/>
    </row>
    <row r="352" spans="2:2" customFormat="1" ht="15.75" customHeight="1">
      <c r="B352" s="59"/>
    </row>
    <row r="353" spans="2:2" customFormat="1" ht="15.75" customHeight="1">
      <c r="B353" s="59"/>
    </row>
    <row r="354" spans="2:2" customFormat="1" ht="15.75" customHeight="1">
      <c r="B354" s="59"/>
    </row>
    <row r="355" spans="2:2" customFormat="1" ht="15.75" customHeight="1">
      <c r="B355" s="59"/>
    </row>
    <row r="356" spans="2:2" customFormat="1" ht="15.75" customHeight="1">
      <c r="B356" s="59"/>
    </row>
    <row r="357" spans="2:2" customFormat="1" ht="15.75" customHeight="1">
      <c r="B357" s="59"/>
    </row>
    <row r="358" spans="2:2" customFormat="1" ht="15.75" customHeight="1">
      <c r="B358" s="59"/>
    </row>
    <row r="359" spans="2:2" customFormat="1" ht="15.75" customHeight="1">
      <c r="B359" s="59"/>
    </row>
    <row r="360" spans="2:2" customFormat="1" ht="15.75" customHeight="1">
      <c r="B360" s="59"/>
    </row>
    <row r="361" spans="2:2" customFormat="1" ht="15.75" customHeight="1">
      <c r="B361" s="59"/>
    </row>
    <row r="362" spans="2:2" customFormat="1" ht="15.75" customHeight="1">
      <c r="B362" s="59"/>
    </row>
    <row r="363" spans="2:2" customFormat="1" ht="15.75" customHeight="1">
      <c r="B363" s="59"/>
    </row>
    <row r="364" spans="2:2" customFormat="1" ht="15.75" customHeight="1">
      <c r="B364" s="59"/>
    </row>
    <row r="365" spans="2:2" customFormat="1" ht="15.75" customHeight="1">
      <c r="B365" s="59"/>
    </row>
    <row r="366" spans="2:2" customFormat="1" ht="15.75" customHeight="1">
      <c r="B366" s="59"/>
    </row>
    <row r="367" spans="2:2" customFormat="1" ht="15.75" customHeight="1">
      <c r="B367" s="59"/>
    </row>
    <row r="368" spans="2:2" customFormat="1" ht="15.75" customHeight="1">
      <c r="B368" s="59"/>
    </row>
    <row r="369" spans="2:2" customFormat="1" ht="15.75" customHeight="1">
      <c r="B369" s="59"/>
    </row>
    <row r="370" spans="2:2" customFormat="1" ht="15.75" customHeight="1">
      <c r="B370" s="59"/>
    </row>
    <row r="371" spans="2:2" customFormat="1" ht="15.75" customHeight="1">
      <c r="B371" s="59"/>
    </row>
    <row r="372" spans="2:2" customFormat="1" ht="15.75" customHeight="1">
      <c r="B372" s="59"/>
    </row>
    <row r="373" spans="2:2" customFormat="1" ht="15.75" customHeight="1">
      <c r="B373" s="59"/>
    </row>
    <row r="374" spans="2:2" customFormat="1" ht="15.75" customHeight="1">
      <c r="B374" s="59"/>
    </row>
    <row r="375" spans="2:2" customFormat="1" ht="15.75" customHeight="1">
      <c r="B375" s="59"/>
    </row>
    <row r="376" spans="2:2" customFormat="1" ht="15.75" customHeight="1">
      <c r="B376" s="59"/>
    </row>
    <row r="377" spans="2:2" customFormat="1" ht="15.75" customHeight="1">
      <c r="B377" s="59"/>
    </row>
    <row r="378" spans="2:2" customFormat="1" ht="15.75" customHeight="1">
      <c r="B378" s="59"/>
    </row>
    <row r="379" spans="2:2" customFormat="1" ht="15.75" customHeight="1">
      <c r="B379" s="59"/>
    </row>
    <row r="380" spans="2:2" customFormat="1" ht="15.75" customHeight="1">
      <c r="B380" s="59"/>
    </row>
    <row r="381" spans="2:2" customFormat="1" ht="15.75" customHeight="1">
      <c r="B381" s="59"/>
    </row>
    <row r="382" spans="2:2" customFormat="1" ht="15.75" customHeight="1">
      <c r="B382" s="59"/>
    </row>
    <row r="383" spans="2:2" customFormat="1" ht="15.75" customHeight="1">
      <c r="B383" s="59"/>
    </row>
    <row r="384" spans="2:2" customFormat="1" ht="15.75" customHeight="1">
      <c r="B384" s="59"/>
    </row>
    <row r="385" spans="2:2" customFormat="1" ht="15.75" customHeight="1">
      <c r="B385" s="59"/>
    </row>
    <row r="386" spans="2:2" customFormat="1" ht="15.75" customHeight="1">
      <c r="B386" s="59"/>
    </row>
    <row r="387" spans="2:2" customFormat="1" ht="15.75" customHeight="1">
      <c r="B387" s="59"/>
    </row>
    <row r="388" spans="2:2" customFormat="1" ht="15.75" customHeight="1">
      <c r="B388" s="59"/>
    </row>
    <row r="389" spans="2:2" customFormat="1" ht="15.75" customHeight="1">
      <c r="B389" s="59"/>
    </row>
    <row r="390" spans="2:2" customFormat="1" ht="15.75" customHeight="1">
      <c r="B390" s="59"/>
    </row>
    <row r="391" spans="2:2" customFormat="1" ht="15.75" customHeight="1">
      <c r="B391" s="59"/>
    </row>
    <row r="392" spans="2:2" customFormat="1" ht="15.75" customHeight="1">
      <c r="B392" s="59"/>
    </row>
    <row r="393" spans="2:2" customFormat="1" ht="15.75" customHeight="1">
      <c r="B393" s="59"/>
    </row>
    <row r="394" spans="2:2" customFormat="1" ht="15.75" customHeight="1">
      <c r="B394" s="59"/>
    </row>
    <row r="395" spans="2:2" customFormat="1" ht="15.75" customHeight="1">
      <c r="B395" s="59"/>
    </row>
    <row r="396" spans="2:2" customFormat="1" ht="15.75" customHeight="1">
      <c r="B396" s="59"/>
    </row>
    <row r="397" spans="2:2" customFormat="1" ht="15.75" customHeight="1">
      <c r="B397" s="59"/>
    </row>
    <row r="398" spans="2:2" customFormat="1" ht="15.75" customHeight="1">
      <c r="B398" s="59"/>
    </row>
    <row r="399" spans="2:2" customFormat="1" ht="15.75" customHeight="1">
      <c r="B399" s="59"/>
    </row>
    <row r="400" spans="2:2" customFormat="1" ht="15.75" customHeight="1">
      <c r="B400" s="59"/>
    </row>
    <row r="401" spans="2:2" customFormat="1" ht="15.75" customHeight="1">
      <c r="B401" s="59"/>
    </row>
    <row r="402" spans="2:2" customFormat="1" ht="15.75" customHeight="1">
      <c r="B402" s="59"/>
    </row>
    <row r="403" spans="2:2" customFormat="1" ht="15.75" customHeight="1">
      <c r="B403" s="59"/>
    </row>
    <row r="404" spans="2:2" customFormat="1" ht="15.75" customHeight="1">
      <c r="B404" s="59"/>
    </row>
    <row r="405" spans="2:2" customFormat="1" ht="15.75" customHeight="1">
      <c r="B405" s="59"/>
    </row>
    <row r="406" spans="2:2" customFormat="1" ht="15.75" customHeight="1">
      <c r="B406" s="59"/>
    </row>
    <row r="407" spans="2:2" customFormat="1" ht="15.75" customHeight="1">
      <c r="B407" s="59"/>
    </row>
    <row r="408" spans="2:2" customFormat="1" ht="15.75" customHeight="1">
      <c r="B408" s="59"/>
    </row>
    <row r="409" spans="2:2" customFormat="1" ht="15.75" customHeight="1">
      <c r="B409" s="59"/>
    </row>
    <row r="410" spans="2:2" customFormat="1" ht="15.75" customHeight="1">
      <c r="B410" s="59"/>
    </row>
    <row r="411" spans="2:2" customFormat="1" ht="15.75" customHeight="1">
      <c r="B411" s="59"/>
    </row>
    <row r="412" spans="2:2" customFormat="1" ht="15.75" customHeight="1">
      <c r="B412" s="59"/>
    </row>
    <row r="413" spans="2:2" customFormat="1" ht="15.75" customHeight="1">
      <c r="B413" s="59"/>
    </row>
    <row r="414" spans="2:2" customFormat="1" ht="15.75" customHeight="1">
      <c r="B414" s="59"/>
    </row>
    <row r="415" spans="2:2" customFormat="1" ht="15.75" customHeight="1">
      <c r="B415" s="59"/>
    </row>
    <row r="416" spans="2:2" customFormat="1" ht="15.75" customHeight="1">
      <c r="B416" s="59"/>
    </row>
    <row r="417" spans="2:2" customFormat="1" ht="15.75" customHeight="1">
      <c r="B417" s="59"/>
    </row>
    <row r="418" spans="2:2" customFormat="1" ht="15.75" customHeight="1">
      <c r="B418" s="59"/>
    </row>
    <row r="419" spans="2:2" customFormat="1" ht="15.75" customHeight="1">
      <c r="B419" s="59"/>
    </row>
    <row r="420" spans="2:2" customFormat="1" ht="15.75" customHeight="1">
      <c r="B420" s="59"/>
    </row>
    <row r="421" spans="2:2" customFormat="1" ht="15.75" customHeight="1">
      <c r="B421" s="59"/>
    </row>
    <row r="422" spans="2:2" customFormat="1" ht="15.75" customHeight="1">
      <c r="B422" s="59"/>
    </row>
    <row r="423" spans="2:2" customFormat="1" ht="15.75" customHeight="1">
      <c r="B423" s="59"/>
    </row>
    <row r="424" spans="2:2" customFormat="1" ht="15.75" customHeight="1">
      <c r="B424" s="59"/>
    </row>
    <row r="425" spans="2:2" customFormat="1" ht="15.75" customHeight="1">
      <c r="B425" s="59"/>
    </row>
    <row r="426" spans="2:2" customFormat="1" ht="15.75" customHeight="1">
      <c r="B426" s="59"/>
    </row>
    <row r="427" spans="2:2" customFormat="1" ht="15.75" customHeight="1">
      <c r="B427" s="59"/>
    </row>
    <row r="428" spans="2:2" customFormat="1" ht="15.75" customHeight="1">
      <c r="B428" s="59"/>
    </row>
    <row r="429" spans="2:2" customFormat="1" ht="15.75" customHeight="1">
      <c r="B429" s="59"/>
    </row>
    <row r="430" spans="2:2" customFormat="1" ht="15.75" customHeight="1">
      <c r="B430" s="59"/>
    </row>
    <row r="431" spans="2:2" customFormat="1" ht="15.75" customHeight="1">
      <c r="B431" s="59"/>
    </row>
    <row r="432" spans="2:2" customFormat="1" ht="15.75" customHeight="1">
      <c r="B432" s="59"/>
    </row>
    <row r="433" spans="2:2" customFormat="1" ht="15.75" customHeight="1">
      <c r="B433" s="59"/>
    </row>
    <row r="434" spans="2:2" customFormat="1" ht="15.75" customHeight="1">
      <c r="B434" s="59"/>
    </row>
    <row r="435" spans="2:2" customFormat="1" ht="15.75" customHeight="1">
      <c r="B435" s="59"/>
    </row>
    <row r="436" spans="2:2" customFormat="1" ht="15.75" customHeight="1">
      <c r="B436" s="59"/>
    </row>
    <row r="437" spans="2:2" customFormat="1" ht="15.75" customHeight="1">
      <c r="B437" s="59"/>
    </row>
    <row r="438" spans="2:2" customFormat="1" ht="15.75" customHeight="1">
      <c r="B438" s="59"/>
    </row>
    <row r="439" spans="2:2" customFormat="1" ht="15.75" customHeight="1">
      <c r="B439" s="59"/>
    </row>
    <row r="440" spans="2:2" customFormat="1" ht="15.75" customHeight="1">
      <c r="B440" s="59"/>
    </row>
    <row r="441" spans="2:2" customFormat="1" ht="15.75" customHeight="1">
      <c r="B441" s="59"/>
    </row>
    <row r="442" spans="2:2" customFormat="1" ht="15.75" customHeight="1">
      <c r="B442" s="59"/>
    </row>
    <row r="443" spans="2:2" customFormat="1" ht="15.75" customHeight="1">
      <c r="B443" s="59"/>
    </row>
    <row r="444" spans="2:2" customFormat="1" ht="15.75" customHeight="1">
      <c r="B444" s="59"/>
    </row>
    <row r="445" spans="2:2" customFormat="1" ht="15.75" customHeight="1">
      <c r="B445" s="59"/>
    </row>
    <row r="446" spans="2:2" customFormat="1" ht="15.75" customHeight="1">
      <c r="B446" s="59"/>
    </row>
    <row r="447" spans="2:2" customFormat="1" ht="15.75" customHeight="1">
      <c r="B447" s="59"/>
    </row>
    <row r="448" spans="2:2" customFormat="1" ht="15.75" customHeight="1">
      <c r="B448" s="59"/>
    </row>
    <row r="449" spans="2:2" customFormat="1" ht="15.75" customHeight="1">
      <c r="B449" s="59"/>
    </row>
    <row r="450" spans="2:2" customFormat="1" ht="15.75" customHeight="1">
      <c r="B450" s="59"/>
    </row>
    <row r="451" spans="2:2" customFormat="1" ht="15.75" customHeight="1">
      <c r="B451" s="59"/>
    </row>
    <row r="452" spans="2:2" customFormat="1" ht="15.75" customHeight="1">
      <c r="B452" s="59"/>
    </row>
    <row r="453" spans="2:2" customFormat="1" ht="15.75" customHeight="1">
      <c r="B453" s="59"/>
    </row>
    <row r="454" spans="2:2" customFormat="1" ht="15.75" customHeight="1">
      <c r="B454" s="59"/>
    </row>
    <row r="455" spans="2:2" customFormat="1" ht="15.75" customHeight="1">
      <c r="B455" s="59"/>
    </row>
    <row r="456" spans="2:2" customFormat="1" ht="15.75" customHeight="1">
      <c r="B456" s="59"/>
    </row>
    <row r="457" spans="2:2" customFormat="1" ht="15.75" customHeight="1">
      <c r="B457" s="59"/>
    </row>
    <row r="458" spans="2:2" customFormat="1" ht="15.75" customHeight="1">
      <c r="B458" s="59"/>
    </row>
    <row r="459" spans="2:2" customFormat="1" ht="15.75" customHeight="1">
      <c r="B459" s="59"/>
    </row>
    <row r="460" spans="2:2" customFormat="1" ht="15.75" customHeight="1">
      <c r="B460" s="59"/>
    </row>
    <row r="461" spans="2:2" customFormat="1" ht="15.75" customHeight="1">
      <c r="B461" s="59"/>
    </row>
    <row r="462" spans="2:2" customFormat="1" ht="15.75" customHeight="1">
      <c r="B462" s="59"/>
    </row>
    <row r="463" spans="2:2" customFormat="1" ht="15.75" customHeight="1">
      <c r="B463" s="59"/>
    </row>
    <row r="464" spans="2:2" customFormat="1" ht="15.75" customHeight="1">
      <c r="B464" s="59"/>
    </row>
    <row r="465" spans="2:2" customFormat="1" ht="15.75" customHeight="1">
      <c r="B465" s="59"/>
    </row>
    <row r="466" spans="2:2" customFormat="1" ht="15.75" customHeight="1">
      <c r="B466" s="59"/>
    </row>
    <row r="467" spans="2:2" customFormat="1" ht="15.75" customHeight="1">
      <c r="B467" s="59"/>
    </row>
    <row r="468" spans="2:2" customFormat="1" ht="15.75" customHeight="1">
      <c r="B468" s="59"/>
    </row>
    <row r="469" spans="2:2" customFormat="1" ht="15.75" customHeight="1">
      <c r="B469" s="59"/>
    </row>
    <row r="470" spans="2:2" customFormat="1" ht="15.75" customHeight="1">
      <c r="B470" s="59"/>
    </row>
    <row r="471" spans="2:2" customFormat="1" ht="15.75" customHeight="1">
      <c r="B471" s="59"/>
    </row>
    <row r="472" spans="2:2" customFormat="1" ht="15.75" customHeight="1">
      <c r="B472" s="59"/>
    </row>
    <row r="473" spans="2:2" customFormat="1" ht="15.75" customHeight="1">
      <c r="B473" s="59"/>
    </row>
    <row r="474" spans="2:2" customFormat="1" ht="15.75" customHeight="1">
      <c r="B474" s="59"/>
    </row>
    <row r="475" spans="2:2" customFormat="1" ht="15.75" customHeight="1">
      <c r="B475" s="59"/>
    </row>
    <row r="476" spans="2:2" customFormat="1" ht="15.75" customHeight="1">
      <c r="B476" s="59"/>
    </row>
    <row r="477" spans="2:2" customFormat="1" ht="15.75" customHeight="1">
      <c r="B477" s="59"/>
    </row>
    <row r="478" spans="2:2" customFormat="1" ht="15.75" customHeight="1">
      <c r="B478" s="59"/>
    </row>
    <row r="479" spans="2:2" customFormat="1" ht="15.75" customHeight="1">
      <c r="B479" s="59"/>
    </row>
    <row r="480" spans="2:2" customFormat="1" ht="15.75" customHeight="1">
      <c r="B480" s="59"/>
    </row>
    <row r="481" spans="2:2" customFormat="1" ht="15.75" customHeight="1">
      <c r="B481" s="59"/>
    </row>
    <row r="482" spans="2:2" customFormat="1" ht="15.75" customHeight="1">
      <c r="B482" s="59"/>
    </row>
    <row r="483" spans="2:2" customFormat="1" ht="15.75" customHeight="1">
      <c r="B483" s="59"/>
    </row>
    <row r="484" spans="2:2" customFormat="1" ht="15.75" customHeight="1">
      <c r="B484" s="59"/>
    </row>
    <row r="485" spans="2:2" customFormat="1" ht="15.75" customHeight="1">
      <c r="B485" s="59"/>
    </row>
    <row r="486" spans="2:2" customFormat="1" ht="15.75" customHeight="1">
      <c r="B486" s="59"/>
    </row>
    <row r="487" spans="2:2" customFormat="1" ht="15.75" customHeight="1">
      <c r="B487" s="59"/>
    </row>
    <row r="488" spans="2:2" customFormat="1" ht="15.75" customHeight="1">
      <c r="B488" s="59"/>
    </row>
    <row r="489" spans="2:2" customFormat="1" ht="15.75" customHeight="1">
      <c r="B489" s="59"/>
    </row>
    <row r="490" spans="2:2" customFormat="1" ht="15.75" customHeight="1">
      <c r="B490" s="59"/>
    </row>
    <row r="491" spans="2:2" customFormat="1" ht="15.75" customHeight="1">
      <c r="B491" s="59"/>
    </row>
    <row r="492" spans="2:2" customFormat="1" ht="15.75" customHeight="1">
      <c r="B492" s="59"/>
    </row>
    <row r="493" spans="2:2" customFormat="1" ht="15.75" customHeight="1">
      <c r="B493" s="59"/>
    </row>
    <row r="494" spans="2:2" customFormat="1" ht="15.75" customHeight="1">
      <c r="B494" s="59"/>
    </row>
    <row r="495" spans="2:2" customFormat="1" ht="15.75" customHeight="1">
      <c r="B495" s="59"/>
    </row>
    <row r="496" spans="2:2" customFormat="1" ht="15.75" customHeight="1">
      <c r="B496" s="59"/>
    </row>
    <row r="497" spans="2:2" customFormat="1" ht="15.75" customHeight="1">
      <c r="B497" s="59"/>
    </row>
    <row r="498" spans="2:2" customFormat="1" ht="15.75" customHeight="1">
      <c r="B498" s="59"/>
    </row>
    <row r="499" spans="2:2" customFormat="1" ht="15.75" customHeight="1">
      <c r="B499" s="59"/>
    </row>
    <row r="500" spans="2:2" customFormat="1" ht="15.75" customHeight="1">
      <c r="B500" s="59"/>
    </row>
    <row r="501" spans="2:2" customFormat="1" ht="15.75" customHeight="1">
      <c r="B501" s="59"/>
    </row>
    <row r="502" spans="2:2" customFormat="1" ht="15.75" customHeight="1">
      <c r="B502" s="59"/>
    </row>
    <row r="503" spans="2:2" customFormat="1" ht="15.75" customHeight="1">
      <c r="B503" s="59"/>
    </row>
    <row r="504" spans="2:2" customFormat="1" ht="15.75" customHeight="1">
      <c r="B504" s="59"/>
    </row>
    <row r="505" spans="2:2" customFormat="1" ht="15.75" customHeight="1">
      <c r="B505" s="59"/>
    </row>
    <row r="506" spans="2:2" customFormat="1" ht="15.75" customHeight="1">
      <c r="B506" s="59"/>
    </row>
    <row r="507" spans="2:2" customFormat="1" ht="15.75" customHeight="1">
      <c r="B507" s="59"/>
    </row>
    <row r="508" spans="2:2" customFormat="1" ht="15.75" customHeight="1">
      <c r="B508" s="59"/>
    </row>
    <row r="509" spans="2:2" customFormat="1" ht="15.75" customHeight="1">
      <c r="B509" s="59"/>
    </row>
    <row r="510" spans="2:2" customFormat="1" ht="15.75" customHeight="1">
      <c r="B510" s="59"/>
    </row>
    <row r="511" spans="2:2" customFormat="1" ht="15.75" customHeight="1">
      <c r="B511" s="59"/>
    </row>
    <row r="512" spans="2:2" customFormat="1" ht="15.75" customHeight="1">
      <c r="B512" s="59"/>
    </row>
    <row r="513" spans="2:2" customFormat="1" ht="15.75" customHeight="1">
      <c r="B513" s="59"/>
    </row>
    <row r="514" spans="2:2" customFormat="1" ht="15.75" customHeight="1">
      <c r="B514" s="59"/>
    </row>
    <row r="515" spans="2:2" customFormat="1" ht="15.75" customHeight="1">
      <c r="B515" s="59"/>
    </row>
    <row r="516" spans="2:2" customFormat="1" ht="15.75" customHeight="1">
      <c r="B516" s="59"/>
    </row>
    <row r="517" spans="2:2" customFormat="1" ht="15.75" customHeight="1">
      <c r="B517" s="59"/>
    </row>
    <row r="518" spans="2:2" customFormat="1" ht="15.75" customHeight="1">
      <c r="B518" s="59"/>
    </row>
    <row r="519" spans="2:2" customFormat="1" ht="15.75" customHeight="1">
      <c r="B519" s="59"/>
    </row>
    <row r="520" spans="2:2" customFormat="1" ht="15.75" customHeight="1">
      <c r="B520" s="59"/>
    </row>
    <row r="521" spans="2:2" customFormat="1" ht="15.75" customHeight="1">
      <c r="B521" s="59"/>
    </row>
    <row r="522" spans="2:2" customFormat="1" ht="15.75" customHeight="1">
      <c r="B522" s="59"/>
    </row>
    <row r="523" spans="2:2" customFormat="1" ht="15.75" customHeight="1">
      <c r="B523" s="59"/>
    </row>
    <row r="524" spans="2:2" customFormat="1" ht="15.75" customHeight="1">
      <c r="B524" s="59"/>
    </row>
    <row r="525" spans="2:2" customFormat="1" ht="15.75" customHeight="1">
      <c r="B525" s="59"/>
    </row>
    <row r="526" spans="2:2" customFormat="1" ht="15.75" customHeight="1">
      <c r="B526" s="59"/>
    </row>
    <row r="527" spans="2:2" customFormat="1" ht="15.75" customHeight="1">
      <c r="B527" s="59"/>
    </row>
    <row r="528" spans="2:2" customFormat="1" ht="15.75" customHeight="1">
      <c r="B528" s="59"/>
    </row>
    <row r="529" spans="2:2" customFormat="1" ht="15.75" customHeight="1">
      <c r="B529" s="59"/>
    </row>
    <row r="530" spans="2:2" customFormat="1" ht="15.75" customHeight="1">
      <c r="B530" s="59"/>
    </row>
    <row r="531" spans="2:2" customFormat="1" ht="15.75" customHeight="1">
      <c r="B531" s="59"/>
    </row>
    <row r="532" spans="2:2" customFormat="1" ht="15.75" customHeight="1">
      <c r="B532" s="59"/>
    </row>
    <row r="533" spans="2:2" customFormat="1" ht="15.75" customHeight="1">
      <c r="B533" s="59"/>
    </row>
    <row r="534" spans="2:2" customFormat="1" ht="15.75" customHeight="1">
      <c r="B534" s="59"/>
    </row>
    <row r="535" spans="2:2" customFormat="1" ht="15.75" customHeight="1">
      <c r="B535" s="59"/>
    </row>
    <row r="536" spans="2:2" customFormat="1" ht="15.75" customHeight="1">
      <c r="B536" s="59"/>
    </row>
    <row r="537" spans="2:2" customFormat="1" ht="15.75" customHeight="1">
      <c r="B537" s="59"/>
    </row>
    <row r="538" spans="2:2" customFormat="1" ht="15.75" customHeight="1">
      <c r="B538" s="59"/>
    </row>
    <row r="539" spans="2:2" customFormat="1" ht="15.75" customHeight="1">
      <c r="B539" s="59"/>
    </row>
    <row r="540" spans="2:2" customFormat="1" ht="15.75" customHeight="1">
      <c r="B540" s="59"/>
    </row>
    <row r="541" spans="2:2" customFormat="1" ht="15.75" customHeight="1">
      <c r="B541" s="59"/>
    </row>
    <row r="542" spans="2:2" customFormat="1" ht="15.75" customHeight="1">
      <c r="B542" s="59"/>
    </row>
    <row r="543" spans="2:2" customFormat="1" ht="15.75" customHeight="1">
      <c r="B543" s="59"/>
    </row>
    <row r="544" spans="2:2" customFormat="1" ht="15.75" customHeight="1">
      <c r="B544" s="59"/>
    </row>
    <row r="545" spans="2:2" customFormat="1" ht="15.75" customHeight="1">
      <c r="B545" s="59"/>
    </row>
    <row r="546" spans="2:2" customFormat="1" ht="15.75" customHeight="1">
      <c r="B546" s="59"/>
    </row>
    <row r="547" spans="2:2" customFormat="1" ht="15.75" customHeight="1">
      <c r="B547" s="59"/>
    </row>
    <row r="548" spans="2:2" customFormat="1" ht="15.75" customHeight="1">
      <c r="B548" s="59"/>
    </row>
    <row r="549" spans="2:2" customFormat="1" ht="15.75" customHeight="1">
      <c r="B549" s="59"/>
    </row>
    <row r="550" spans="2:2" customFormat="1" ht="15.75" customHeight="1">
      <c r="B550" s="59"/>
    </row>
    <row r="551" spans="2:2" customFormat="1" ht="15.75" customHeight="1">
      <c r="B551" s="59"/>
    </row>
    <row r="552" spans="2:2" customFormat="1" ht="15.75" customHeight="1">
      <c r="B552" s="59"/>
    </row>
    <row r="553" spans="2:2" customFormat="1" ht="15.75" customHeight="1">
      <c r="B553" s="59"/>
    </row>
    <row r="554" spans="2:2" customFormat="1" ht="15.75" customHeight="1">
      <c r="B554" s="59"/>
    </row>
    <row r="555" spans="2:2" customFormat="1" ht="15.75" customHeight="1">
      <c r="B555" s="59"/>
    </row>
    <row r="556" spans="2:2" customFormat="1" ht="15.75" customHeight="1">
      <c r="B556" s="59"/>
    </row>
    <row r="557" spans="2:2" customFormat="1" ht="15.75" customHeight="1">
      <c r="B557" s="59"/>
    </row>
    <row r="558" spans="2:2" customFormat="1" ht="15.75" customHeight="1">
      <c r="B558" s="59"/>
    </row>
    <row r="559" spans="2:2" customFormat="1" ht="15.75" customHeight="1">
      <c r="B559" s="59"/>
    </row>
    <row r="560" spans="2:2" customFormat="1" ht="15.75" customHeight="1">
      <c r="B560" s="59"/>
    </row>
    <row r="561" spans="2:2" customFormat="1" ht="15.75" customHeight="1">
      <c r="B561" s="59"/>
    </row>
    <row r="562" spans="2:2" customFormat="1" ht="15.75" customHeight="1">
      <c r="B562" s="59"/>
    </row>
    <row r="563" spans="2:2" customFormat="1" ht="15.75" customHeight="1">
      <c r="B563" s="59"/>
    </row>
    <row r="564" spans="2:2" customFormat="1" ht="15.75" customHeight="1">
      <c r="B564" s="59"/>
    </row>
    <row r="565" spans="2:2" customFormat="1" ht="15.75" customHeight="1">
      <c r="B565" s="59"/>
    </row>
    <row r="566" spans="2:2" customFormat="1" ht="15.75" customHeight="1">
      <c r="B566" s="59"/>
    </row>
    <row r="567" spans="2:2" customFormat="1" ht="15.75" customHeight="1">
      <c r="B567" s="59"/>
    </row>
    <row r="568" spans="2:2" customFormat="1" ht="15.75" customHeight="1">
      <c r="B568" s="59"/>
    </row>
    <row r="569" spans="2:2" customFormat="1" ht="15.75" customHeight="1">
      <c r="B569" s="59"/>
    </row>
    <row r="570" spans="2:2" customFormat="1" ht="15.75" customHeight="1">
      <c r="B570" s="59"/>
    </row>
    <row r="571" spans="2:2" customFormat="1" ht="15.75" customHeight="1">
      <c r="B571" s="59"/>
    </row>
    <row r="572" spans="2:2" customFormat="1" ht="15.75" customHeight="1">
      <c r="B572" s="59"/>
    </row>
    <row r="573" spans="2:2" customFormat="1" ht="15.75" customHeight="1">
      <c r="B573" s="59"/>
    </row>
    <row r="574" spans="2:2" customFormat="1" ht="15.75" customHeight="1">
      <c r="B574" s="59"/>
    </row>
    <row r="575" spans="2:2" customFormat="1" ht="15.75" customHeight="1">
      <c r="B575" s="59"/>
    </row>
    <row r="576" spans="2:2" customFormat="1" ht="15.75" customHeight="1">
      <c r="B576" s="59"/>
    </row>
    <row r="577" spans="2:2" customFormat="1" ht="15.75" customHeight="1">
      <c r="B577" s="59"/>
    </row>
    <row r="578" spans="2:2" customFormat="1" ht="15.75" customHeight="1">
      <c r="B578" s="59"/>
    </row>
    <row r="579" spans="2:2" customFormat="1" ht="15.75" customHeight="1">
      <c r="B579" s="59"/>
    </row>
    <row r="580" spans="2:2" customFormat="1" ht="15.75" customHeight="1">
      <c r="B580" s="59"/>
    </row>
    <row r="581" spans="2:2" customFormat="1" ht="15.75" customHeight="1">
      <c r="B581" s="59"/>
    </row>
    <row r="582" spans="2:2" customFormat="1" ht="15.75" customHeight="1">
      <c r="B582" s="59"/>
    </row>
    <row r="583" spans="2:2" customFormat="1" ht="15.75" customHeight="1">
      <c r="B583" s="59"/>
    </row>
    <row r="584" spans="2:2" customFormat="1" ht="15.75" customHeight="1">
      <c r="B584" s="59"/>
    </row>
    <row r="585" spans="2:2" customFormat="1" ht="15.75" customHeight="1">
      <c r="B585" s="59"/>
    </row>
    <row r="586" spans="2:2" customFormat="1" ht="15.75" customHeight="1">
      <c r="B586" s="59"/>
    </row>
    <row r="587" spans="2:2" customFormat="1" ht="15.75" customHeight="1">
      <c r="B587" s="59"/>
    </row>
    <row r="588" spans="2:2" customFormat="1" ht="15.75" customHeight="1">
      <c r="B588" s="59"/>
    </row>
    <row r="589" spans="2:2" customFormat="1" ht="15.75" customHeight="1">
      <c r="B589" s="59"/>
    </row>
    <row r="590" spans="2:2" customFormat="1" ht="15.75" customHeight="1">
      <c r="B590" s="59"/>
    </row>
    <row r="591" spans="2:2" customFormat="1" ht="15.75" customHeight="1">
      <c r="B591" s="59"/>
    </row>
    <row r="592" spans="2:2" customFormat="1" ht="15.75" customHeight="1">
      <c r="B592" s="59"/>
    </row>
    <row r="593" spans="2:2" customFormat="1" ht="15.75" customHeight="1">
      <c r="B593" s="59"/>
    </row>
    <row r="594" spans="2:2" customFormat="1" ht="15.75" customHeight="1">
      <c r="B594" s="59"/>
    </row>
    <row r="595" spans="2:2" customFormat="1" ht="15.75" customHeight="1">
      <c r="B595" s="59"/>
    </row>
    <row r="596" spans="2:2" customFormat="1" ht="15.75" customHeight="1">
      <c r="B596" s="59"/>
    </row>
    <row r="597" spans="2:2" customFormat="1" ht="15.75" customHeight="1">
      <c r="B597" s="59"/>
    </row>
    <row r="598" spans="2:2" customFormat="1" ht="15.75" customHeight="1">
      <c r="B598" s="59"/>
    </row>
    <row r="599" spans="2:2" customFormat="1" ht="15.75" customHeight="1">
      <c r="B599" s="59"/>
    </row>
    <row r="600" spans="2:2" customFormat="1" ht="15.75" customHeight="1">
      <c r="B600" s="59"/>
    </row>
    <row r="601" spans="2:2" customFormat="1" ht="15.75" customHeight="1">
      <c r="B601" s="59"/>
    </row>
    <row r="602" spans="2:2" customFormat="1" ht="15.75" customHeight="1">
      <c r="B602" s="59"/>
    </row>
    <row r="603" spans="2:2" customFormat="1" ht="15.75" customHeight="1">
      <c r="B603" s="59"/>
    </row>
    <row r="604" spans="2:2" customFormat="1" ht="15.75" customHeight="1">
      <c r="B604" s="59"/>
    </row>
    <row r="605" spans="2:2" customFormat="1" ht="15.75" customHeight="1">
      <c r="B605" s="59"/>
    </row>
    <row r="606" spans="2:2" customFormat="1" ht="15.75" customHeight="1">
      <c r="B606" s="59"/>
    </row>
    <row r="607" spans="2:2" customFormat="1" ht="15.75" customHeight="1">
      <c r="B607" s="59"/>
    </row>
    <row r="608" spans="2:2" customFormat="1" ht="15.75" customHeight="1">
      <c r="B608" s="59"/>
    </row>
    <row r="609" spans="2:2" customFormat="1" ht="15.75" customHeight="1">
      <c r="B609" s="59"/>
    </row>
    <row r="610" spans="2:2" customFormat="1" ht="15.75" customHeight="1">
      <c r="B610" s="59"/>
    </row>
    <row r="611" spans="2:2" customFormat="1" ht="15.75" customHeight="1">
      <c r="B611" s="59"/>
    </row>
    <row r="612" spans="2:2" customFormat="1" ht="15.75" customHeight="1">
      <c r="B612" s="59"/>
    </row>
    <row r="613" spans="2:2" customFormat="1" ht="15.75" customHeight="1">
      <c r="B613" s="59"/>
    </row>
    <row r="614" spans="2:2" customFormat="1" ht="15.75" customHeight="1">
      <c r="B614" s="59"/>
    </row>
    <row r="615" spans="2:2" customFormat="1" ht="15.75" customHeight="1">
      <c r="B615" s="59"/>
    </row>
    <row r="616" spans="2:2" customFormat="1" ht="15.75" customHeight="1">
      <c r="B616" s="59"/>
    </row>
    <row r="617" spans="2:2" customFormat="1" ht="15.75" customHeight="1">
      <c r="B617" s="59"/>
    </row>
    <row r="618" spans="2:2" customFormat="1" ht="15.75" customHeight="1">
      <c r="B618" s="59"/>
    </row>
    <row r="619" spans="2:2" customFormat="1" ht="15.75" customHeight="1">
      <c r="B619" s="59"/>
    </row>
    <row r="620" spans="2:2" customFormat="1" ht="15.75" customHeight="1">
      <c r="B620" s="59"/>
    </row>
    <row r="621" spans="2:2" customFormat="1" ht="15.75" customHeight="1">
      <c r="B621" s="59"/>
    </row>
    <row r="622" spans="2:2" customFormat="1" ht="15.75" customHeight="1">
      <c r="B622" s="59"/>
    </row>
    <row r="623" spans="2:2" customFormat="1" ht="15.75" customHeight="1">
      <c r="B623" s="59"/>
    </row>
    <row r="624" spans="2:2" customFormat="1" ht="15.75" customHeight="1">
      <c r="B624" s="59"/>
    </row>
    <row r="625" spans="2:2" customFormat="1" ht="15.75" customHeight="1">
      <c r="B625" s="59"/>
    </row>
    <row r="626" spans="2:2" customFormat="1" ht="15.75" customHeight="1">
      <c r="B626" s="59"/>
    </row>
    <row r="627" spans="2:2" customFormat="1" ht="15.75" customHeight="1">
      <c r="B627" s="59"/>
    </row>
    <row r="628" spans="2:2" customFormat="1" ht="15.75" customHeight="1">
      <c r="B628" s="59"/>
    </row>
    <row r="629" spans="2:2" customFormat="1" ht="15.75" customHeight="1">
      <c r="B629" s="59"/>
    </row>
    <row r="630" spans="2:2" customFormat="1" ht="15.75" customHeight="1">
      <c r="B630" s="59"/>
    </row>
    <row r="631" spans="2:2" customFormat="1" ht="15.75" customHeight="1">
      <c r="B631" s="59"/>
    </row>
    <row r="632" spans="2:2" customFormat="1" ht="15.75" customHeight="1">
      <c r="B632" s="59"/>
    </row>
    <row r="633" spans="2:2" customFormat="1" ht="15.75" customHeight="1">
      <c r="B633" s="59"/>
    </row>
    <row r="634" spans="2:2" customFormat="1" ht="15.75" customHeight="1">
      <c r="B634" s="59"/>
    </row>
    <row r="635" spans="2:2" customFormat="1" ht="15.75" customHeight="1">
      <c r="B635" s="59"/>
    </row>
    <row r="636" spans="2:2" customFormat="1" ht="15.75" customHeight="1">
      <c r="B636" s="59"/>
    </row>
    <row r="637" spans="2:2" customFormat="1" ht="15.75" customHeight="1">
      <c r="B637" s="59"/>
    </row>
    <row r="638" spans="2:2" customFormat="1" ht="15.75" customHeight="1">
      <c r="B638" s="59"/>
    </row>
    <row r="639" spans="2:2" customFormat="1" ht="15.75" customHeight="1">
      <c r="B639" s="59"/>
    </row>
    <row r="640" spans="2:2" customFormat="1" ht="15.75" customHeight="1">
      <c r="B640" s="59"/>
    </row>
    <row r="641" spans="2:2" customFormat="1" ht="15.75" customHeight="1">
      <c r="B641" s="59"/>
    </row>
    <row r="642" spans="2:2" customFormat="1" ht="15.75" customHeight="1">
      <c r="B642" s="59"/>
    </row>
    <row r="643" spans="2:2" customFormat="1" ht="15.75" customHeight="1">
      <c r="B643" s="59"/>
    </row>
    <row r="644" spans="2:2" customFormat="1" ht="15.75" customHeight="1">
      <c r="B644" s="59"/>
    </row>
    <row r="645" spans="2:2" customFormat="1" ht="15.75" customHeight="1">
      <c r="B645" s="59"/>
    </row>
    <row r="646" spans="2:2" customFormat="1" ht="15.75" customHeight="1">
      <c r="B646" s="59"/>
    </row>
    <row r="647" spans="2:2" customFormat="1" ht="15.75" customHeight="1">
      <c r="B647" s="59"/>
    </row>
    <row r="648" spans="2:2" customFormat="1" ht="15.75" customHeight="1"/>
    <row r="649" spans="2:2" customFormat="1" ht="15.75" customHeight="1"/>
    <row r="650" spans="2:2" customFormat="1" ht="15.75" customHeight="1"/>
    <row r="651" spans="2:2" customFormat="1" ht="15.75" customHeight="1"/>
    <row r="652" spans="2:2" customFormat="1" ht="15.75" customHeight="1"/>
    <row r="653" spans="2:2" customFormat="1" ht="15.75" customHeight="1"/>
    <row r="654" spans="2:2" customFormat="1" ht="15.75" customHeight="1"/>
    <row r="655" spans="2:2" customFormat="1" ht="15.75" customHeight="1"/>
    <row r="656" spans="2:2" customFormat="1" ht="15.75" customHeight="1"/>
    <row r="657" customFormat="1" ht="15.75" customHeight="1"/>
    <row r="658" customFormat="1" ht="15.75" customHeight="1"/>
    <row r="659" customFormat="1" ht="15.75" customHeight="1"/>
    <row r="660" customFormat="1" ht="15.75" customHeight="1"/>
    <row r="661" customFormat="1" ht="15.75" customHeight="1"/>
    <row r="662" customFormat="1" ht="15.75" customHeight="1"/>
    <row r="663" customFormat="1" ht="15.75" customHeight="1"/>
    <row r="664" customFormat="1" ht="15.75" customHeight="1"/>
    <row r="665" customFormat="1" ht="15.75" customHeight="1"/>
    <row r="666" customFormat="1" ht="15.75" customHeight="1"/>
    <row r="667" customFormat="1" ht="15.75" customHeight="1"/>
    <row r="668" customFormat="1" ht="15.75" customHeight="1"/>
    <row r="669" customFormat="1" ht="15.75" customHeight="1"/>
    <row r="670" customFormat="1" ht="15.75" customHeight="1"/>
    <row r="671" customFormat="1" ht="15.75" customHeight="1"/>
    <row r="672" customFormat="1" ht="15.75" customHeight="1"/>
    <row r="673" customFormat="1" ht="15.75" customHeight="1"/>
    <row r="674" customFormat="1" ht="15.75" customHeight="1"/>
    <row r="675" customFormat="1" ht="15.75" customHeight="1"/>
    <row r="676" customFormat="1" ht="15.75" customHeight="1"/>
    <row r="677" customFormat="1" ht="15.75" customHeight="1"/>
    <row r="678" customFormat="1" ht="15.75" customHeight="1"/>
    <row r="679" customFormat="1" ht="15.75" customHeight="1"/>
    <row r="680" customFormat="1" ht="15.75" customHeight="1"/>
    <row r="681" customFormat="1" ht="15.75" customHeight="1"/>
    <row r="682" customFormat="1" ht="15.75" customHeight="1"/>
    <row r="683" customFormat="1" ht="15.75" customHeight="1"/>
    <row r="684" customFormat="1" ht="15.75" customHeight="1"/>
    <row r="685" customFormat="1" ht="15.75" customHeight="1"/>
    <row r="686" customFormat="1" ht="15.75" customHeight="1"/>
    <row r="687" customFormat="1" ht="15.75" customHeight="1"/>
    <row r="688" customFormat="1" ht="15.75" customHeight="1"/>
    <row r="689" customFormat="1" ht="15.75" customHeight="1"/>
    <row r="690" customFormat="1" ht="15.75" customHeight="1"/>
    <row r="691" customFormat="1" ht="15.75" customHeight="1"/>
    <row r="692" customFormat="1" ht="15.75" customHeight="1"/>
    <row r="693" customFormat="1" ht="15.75" customHeight="1"/>
    <row r="694" customFormat="1" ht="15.75" customHeight="1"/>
    <row r="695" customFormat="1" ht="15.75" customHeight="1"/>
    <row r="696" customFormat="1" ht="15.75" customHeight="1"/>
    <row r="697" customFormat="1" ht="15.75" customHeight="1"/>
    <row r="698" customFormat="1" ht="15.75" customHeight="1"/>
    <row r="699" customFormat="1" ht="15.75" customHeight="1"/>
    <row r="700" customFormat="1" ht="15.75" customHeight="1"/>
    <row r="701" customFormat="1" ht="15.75" customHeight="1"/>
    <row r="702" customFormat="1" ht="15.75" customHeight="1"/>
    <row r="703" customFormat="1" ht="15.75" customHeight="1"/>
    <row r="704" customFormat="1" ht="15.75" customHeight="1"/>
    <row r="705" customFormat="1" ht="15.75" customHeight="1"/>
    <row r="706" customFormat="1" ht="15.75" customHeight="1"/>
    <row r="707" customFormat="1" ht="15.75" customHeight="1"/>
    <row r="708" customFormat="1" ht="15.75" customHeight="1"/>
    <row r="709" customFormat="1" ht="15.75" customHeight="1"/>
    <row r="710" customFormat="1" ht="15.75" customHeight="1"/>
    <row r="711" customFormat="1" ht="15.75" customHeight="1"/>
    <row r="712" customFormat="1" ht="15.75" customHeight="1"/>
    <row r="713" customFormat="1" ht="15.75" customHeight="1"/>
    <row r="714" customFormat="1" ht="15.75" customHeight="1"/>
    <row r="715" customFormat="1" ht="15.75" customHeight="1"/>
    <row r="716" customFormat="1" ht="15.75" customHeight="1"/>
    <row r="717" customFormat="1" ht="15.75" customHeight="1"/>
    <row r="718" customFormat="1" ht="15.75" customHeight="1"/>
    <row r="719" customFormat="1" ht="15.75" customHeight="1"/>
    <row r="720" customFormat="1" ht="15.75" customHeight="1"/>
    <row r="721" customFormat="1" ht="15.75" customHeight="1"/>
    <row r="722" customFormat="1" ht="15.75" customHeight="1"/>
    <row r="723" customFormat="1" ht="15.75" customHeight="1"/>
    <row r="724" customFormat="1" ht="15.75" customHeight="1"/>
    <row r="725" customFormat="1" ht="15.75" customHeight="1"/>
    <row r="726" customFormat="1" ht="15.75" customHeight="1"/>
    <row r="727" customFormat="1" ht="15.75" customHeight="1"/>
    <row r="728" customFormat="1" ht="15.75" customHeight="1"/>
    <row r="729" customFormat="1" ht="15.75" customHeight="1"/>
    <row r="730" customFormat="1" ht="15.75" customHeight="1"/>
    <row r="731" customFormat="1" ht="15.75" customHeight="1"/>
    <row r="732" customFormat="1" ht="15.75" customHeight="1"/>
    <row r="733" customFormat="1" ht="15.75" customHeight="1"/>
    <row r="734" customFormat="1" ht="15.75" customHeight="1"/>
    <row r="735" customFormat="1" ht="15.75" customHeight="1"/>
    <row r="736" customFormat="1" ht="15.75" customHeight="1"/>
    <row r="737" customFormat="1" ht="15.75" customHeight="1"/>
    <row r="738" customFormat="1" ht="15.75" customHeight="1"/>
    <row r="739" customFormat="1" ht="15.75" customHeight="1"/>
    <row r="740" customFormat="1" ht="15.75" customHeight="1"/>
    <row r="741" customFormat="1" ht="15.75" customHeight="1"/>
    <row r="742" customFormat="1" ht="15.75" customHeight="1"/>
    <row r="743" customFormat="1" ht="15.75" customHeight="1"/>
    <row r="744" customFormat="1" ht="15.75" customHeight="1"/>
    <row r="745" customFormat="1" ht="15.75" customHeight="1"/>
    <row r="746" customFormat="1" ht="15.75" customHeight="1"/>
    <row r="747" customFormat="1" ht="15.75" customHeight="1"/>
    <row r="748" customFormat="1" ht="15.75" customHeight="1"/>
    <row r="749" customFormat="1" ht="15.75" customHeight="1"/>
    <row r="750" customFormat="1" ht="15.75" customHeight="1"/>
    <row r="751" customFormat="1" ht="15.75" customHeight="1"/>
    <row r="752" customFormat="1" ht="15.75" customHeight="1"/>
    <row r="753" customFormat="1" ht="15.75" customHeight="1"/>
    <row r="754" customFormat="1" ht="15.75" customHeight="1"/>
    <row r="755" customFormat="1" ht="15.75" customHeight="1"/>
    <row r="756" customFormat="1" ht="15.75" customHeight="1"/>
    <row r="757" customFormat="1" ht="15.75" customHeight="1"/>
    <row r="758" customFormat="1" ht="15.75" customHeight="1"/>
    <row r="759" customFormat="1" ht="15.75" customHeight="1"/>
    <row r="760" customFormat="1" ht="15.75" customHeight="1"/>
    <row r="761" customFormat="1" ht="15.75" customHeight="1"/>
    <row r="762" customFormat="1" ht="15.75" customHeight="1"/>
    <row r="763" customFormat="1" ht="15.75" customHeight="1"/>
    <row r="764" customFormat="1" ht="15.75" customHeight="1"/>
    <row r="765" customFormat="1" ht="15.75" customHeight="1"/>
    <row r="766" customFormat="1" ht="15.75" customHeight="1"/>
    <row r="767" customFormat="1" ht="15.75" customHeight="1"/>
    <row r="768" customFormat="1" ht="15.75" customHeight="1"/>
    <row r="769" customFormat="1" ht="15.75" customHeight="1"/>
    <row r="770" customFormat="1" ht="15.75" customHeight="1"/>
    <row r="771" customFormat="1" ht="15.75" customHeight="1"/>
    <row r="772" customFormat="1" ht="15.75" customHeight="1"/>
    <row r="773" customFormat="1" ht="15.75" customHeight="1"/>
    <row r="774" customFormat="1" ht="15.75" customHeight="1"/>
    <row r="775" customFormat="1" ht="15.75" customHeight="1"/>
    <row r="776" customFormat="1" ht="15.75" customHeight="1"/>
    <row r="777" customFormat="1" ht="15.75" customHeight="1"/>
    <row r="778" customFormat="1" ht="15.75" customHeight="1"/>
    <row r="779" customFormat="1" ht="15.75" customHeight="1"/>
    <row r="780" customFormat="1" ht="15.75" customHeight="1"/>
    <row r="781" customFormat="1" ht="15.75" customHeight="1"/>
    <row r="782" customFormat="1" ht="15.75" customHeight="1"/>
    <row r="783" customFormat="1" ht="15.75" customHeight="1"/>
    <row r="784" customFormat="1" ht="15.75" customHeight="1"/>
    <row r="785" customFormat="1" ht="15.75" customHeight="1"/>
    <row r="786" customFormat="1" ht="15.75" customHeight="1"/>
    <row r="787" customFormat="1" ht="15.75" customHeight="1"/>
    <row r="788" customFormat="1" ht="15.75" customHeight="1"/>
    <row r="789" customFormat="1" ht="15.75" customHeight="1"/>
    <row r="790" customFormat="1" ht="15.75" customHeight="1"/>
    <row r="791" customFormat="1" ht="15.75" customHeight="1"/>
    <row r="792" customFormat="1" ht="15.75" customHeight="1"/>
    <row r="793" customFormat="1" ht="15.75" customHeight="1"/>
    <row r="794" customFormat="1" ht="15.75" customHeight="1"/>
    <row r="795" customFormat="1" ht="15.75" customHeight="1"/>
    <row r="796" customFormat="1" ht="15.75" customHeight="1"/>
    <row r="797" customFormat="1" ht="15.75" customHeight="1"/>
    <row r="798" customFormat="1" ht="15.75" customHeight="1"/>
    <row r="799" customFormat="1" ht="15.75" customHeight="1"/>
    <row r="800" customFormat="1" ht="15.75" customHeight="1"/>
    <row r="801" customFormat="1" ht="15.75" customHeight="1"/>
    <row r="802" customFormat="1" ht="15.75" customHeight="1"/>
    <row r="803" customFormat="1" ht="15.75" customHeight="1"/>
    <row r="804" customFormat="1" ht="15.75" customHeight="1"/>
    <row r="805" customFormat="1" ht="15.75" customHeight="1"/>
    <row r="806" customFormat="1" ht="15.75" customHeight="1"/>
    <row r="807" customFormat="1" ht="15.75" customHeight="1"/>
    <row r="808" customFormat="1" ht="15.75" customHeight="1"/>
    <row r="809" customFormat="1" ht="15.75" customHeight="1"/>
    <row r="810" customFormat="1" ht="15.75" customHeight="1"/>
    <row r="811" customFormat="1" ht="15.75" customHeight="1"/>
    <row r="812" customFormat="1" ht="15.75" customHeight="1"/>
    <row r="813" customFormat="1" ht="15.75" customHeight="1"/>
    <row r="814" customFormat="1" ht="15.75" customHeight="1"/>
    <row r="815" customFormat="1" ht="15.75" customHeight="1"/>
    <row r="816" customFormat="1" ht="15.75" customHeight="1"/>
    <row r="817" customFormat="1" ht="15.75" customHeight="1"/>
    <row r="818" customFormat="1" ht="15.75" customHeight="1"/>
    <row r="819" customFormat="1" ht="15.75" customHeight="1"/>
    <row r="820" customFormat="1" ht="15.75" customHeight="1"/>
    <row r="821" customFormat="1" ht="15.75" customHeight="1"/>
    <row r="822" customFormat="1" ht="15.75" customHeight="1"/>
    <row r="823" customFormat="1" ht="15.75" customHeight="1"/>
    <row r="824" customFormat="1" ht="15.75" customHeight="1"/>
    <row r="825" customFormat="1" ht="15.75" customHeight="1"/>
    <row r="826" customFormat="1" ht="15.75" customHeight="1"/>
    <row r="827" customFormat="1" ht="15.75" customHeight="1"/>
    <row r="828" customFormat="1" ht="15.75" customHeight="1"/>
    <row r="829" customFormat="1" ht="15.75" customHeight="1"/>
    <row r="830" customFormat="1" ht="15.75" customHeight="1"/>
    <row r="831" customFormat="1" ht="15.75" customHeight="1"/>
    <row r="832" customFormat="1" ht="15.75" customHeight="1"/>
    <row r="833" customFormat="1" ht="15.75" customHeight="1"/>
    <row r="834" customFormat="1" ht="15.75" customHeight="1"/>
    <row r="835" customFormat="1" ht="15.75" customHeight="1"/>
    <row r="836" customFormat="1" ht="15.75" customHeight="1"/>
    <row r="837" customFormat="1" ht="15.75" customHeight="1"/>
    <row r="838" customFormat="1" ht="15.75" customHeight="1"/>
    <row r="839" customFormat="1" ht="15.75" customHeight="1"/>
    <row r="840" customFormat="1" ht="15.75" customHeight="1"/>
    <row r="841" customFormat="1" ht="15.75" customHeight="1"/>
    <row r="842" customFormat="1" ht="15.75" customHeight="1"/>
    <row r="843" customFormat="1" ht="15.75" customHeight="1"/>
    <row r="844" customFormat="1" ht="15.75" customHeight="1"/>
    <row r="845" customFormat="1" ht="15.75" customHeight="1"/>
    <row r="846" customFormat="1" ht="15.75" customHeight="1"/>
    <row r="847" customFormat="1" ht="15.75" customHeight="1"/>
    <row r="848" customFormat="1" ht="15.75" customHeight="1"/>
    <row r="849" customFormat="1" ht="15.75" customHeight="1"/>
    <row r="850" customFormat="1" ht="15.75" customHeight="1"/>
    <row r="851" customFormat="1" ht="15.75" customHeight="1"/>
    <row r="852" customFormat="1" ht="15.75" customHeight="1"/>
    <row r="853" customFormat="1" ht="15.75" customHeight="1"/>
    <row r="854" customFormat="1" ht="15.75" customHeight="1"/>
    <row r="855" customFormat="1" ht="15.75" customHeight="1"/>
    <row r="856" customFormat="1" ht="15.75" customHeight="1"/>
    <row r="857" customFormat="1" ht="15.75" customHeight="1"/>
    <row r="858" customFormat="1" ht="15.75" customHeight="1"/>
    <row r="859" customFormat="1" ht="15.75" customHeight="1"/>
    <row r="860" customFormat="1" ht="15.75" customHeight="1"/>
    <row r="861" customFormat="1" ht="15.75" customHeight="1"/>
    <row r="862" customFormat="1" ht="15.75" customHeight="1"/>
    <row r="863" customFormat="1" ht="15.75" customHeight="1"/>
    <row r="864" customFormat="1" ht="15.75" customHeight="1"/>
    <row r="865" customFormat="1" ht="15.75" customHeight="1"/>
    <row r="866" customFormat="1" ht="15.75" customHeight="1"/>
    <row r="867" customFormat="1" ht="15.75" customHeight="1"/>
    <row r="868" customFormat="1" ht="15.75" customHeight="1"/>
    <row r="869" customFormat="1" ht="15.75" customHeight="1"/>
    <row r="870" customFormat="1" ht="15.75" customHeight="1"/>
    <row r="871" customFormat="1" ht="15.75" customHeight="1"/>
    <row r="872" customFormat="1" ht="15.75" customHeight="1"/>
    <row r="873" customFormat="1" ht="15.75" customHeight="1"/>
    <row r="874" customFormat="1" ht="15.75" customHeight="1"/>
    <row r="875" customFormat="1" ht="15.75" customHeight="1"/>
    <row r="876" customFormat="1" ht="15.75" customHeight="1"/>
    <row r="877" customFormat="1" ht="15.75" customHeight="1"/>
    <row r="878" customFormat="1" ht="15.75" customHeight="1"/>
    <row r="879" customFormat="1" ht="15.75" customHeight="1"/>
    <row r="880" customFormat="1" ht="15.75" customHeight="1"/>
    <row r="881" customFormat="1" ht="15.75" customHeight="1"/>
    <row r="882" customFormat="1" ht="15.75" customHeight="1"/>
    <row r="883" customFormat="1" ht="15.75" customHeight="1"/>
    <row r="884" customFormat="1" ht="15.75" customHeight="1"/>
    <row r="885" customFormat="1" ht="15.75" customHeight="1"/>
    <row r="886" customFormat="1" ht="15.75" customHeight="1"/>
    <row r="887" customFormat="1" ht="15.75" customHeight="1"/>
    <row r="888" customFormat="1" ht="15.75" customHeight="1"/>
    <row r="889" customFormat="1" ht="15.75" customHeight="1"/>
    <row r="890" customFormat="1" ht="15.75" customHeight="1"/>
    <row r="891" customFormat="1" ht="15.75" customHeight="1"/>
    <row r="892" customFormat="1" ht="15.75" customHeight="1"/>
    <row r="893" customFormat="1" ht="15.75" customHeight="1"/>
    <row r="894" customFormat="1" ht="15.75" customHeight="1"/>
    <row r="895" customFormat="1" ht="15.75" customHeight="1"/>
    <row r="896" customFormat="1" ht="15.75" customHeight="1"/>
    <row r="897" customFormat="1" ht="15.75" customHeight="1"/>
    <row r="898" customFormat="1" ht="15.75" customHeight="1"/>
    <row r="899" customFormat="1" ht="15.75" customHeight="1"/>
    <row r="900" customFormat="1" ht="15.75" customHeight="1"/>
    <row r="901" customFormat="1" ht="15.75" customHeight="1"/>
    <row r="902" customFormat="1" ht="15.75" customHeight="1"/>
    <row r="903" customFormat="1" ht="15.75" customHeight="1"/>
    <row r="904" customFormat="1" ht="15.75" customHeight="1"/>
    <row r="905" customFormat="1" ht="15.75" customHeight="1"/>
    <row r="906" customFormat="1" ht="15.75" customHeight="1"/>
    <row r="907" customFormat="1" ht="15.75" customHeight="1"/>
    <row r="908" customFormat="1" ht="15.75" customHeight="1"/>
    <row r="909" customFormat="1" ht="15.75" customHeight="1"/>
    <row r="910" customFormat="1" ht="15.75" customHeight="1"/>
    <row r="911" customFormat="1" ht="15.75" customHeight="1"/>
    <row r="912" customFormat="1" ht="15.75" customHeight="1"/>
    <row r="913" customFormat="1" ht="15.75" customHeight="1"/>
    <row r="914" customFormat="1" ht="15.75" customHeight="1"/>
    <row r="915" customFormat="1" ht="15.75" customHeight="1"/>
    <row r="916" customFormat="1" ht="15.75" customHeight="1"/>
    <row r="917" customFormat="1" ht="15.75" customHeight="1"/>
    <row r="918" customFormat="1" ht="15.75" customHeight="1"/>
    <row r="919" customFormat="1" ht="15.75" customHeight="1"/>
    <row r="920" customFormat="1" ht="15.75" customHeight="1"/>
    <row r="921" customFormat="1" ht="15.75" customHeight="1"/>
    <row r="922" customFormat="1" ht="15.75" customHeight="1"/>
    <row r="923" customFormat="1" ht="15.75" customHeight="1"/>
    <row r="924" customFormat="1" ht="15.75" customHeight="1"/>
    <row r="925" customFormat="1" ht="15.75" customHeight="1"/>
    <row r="926" customFormat="1" ht="15.75" customHeight="1"/>
    <row r="927" customFormat="1" ht="15.75" customHeight="1"/>
    <row r="928" customFormat="1" ht="15.75" customHeight="1"/>
    <row r="929" customFormat="1" ht="15.75" customHeight="1"/>
    <row r="930" customFormat="1" ht="15.75" customHeight="1"/>
    <row r="931" customFormat="1" ht="15.75" customHeight="1"/>
    <row r="932" customFormat="1" ht="15.75" customHeight="1"/>
    <row r="933" customFormat="1" ht="15.75" customHeight="1"/>
    <row r="934" customFormat="1" ht="15.75" customHeight="1"/>
    <row r="935" customFormat="1" ht="15.75" customHeight="1"/>
    <row r="936" customFormat="1" ht="15.75" customHeight="1"/>
    <row r="937" customFormat="1" ht="15.75" customHeight="1"/>
    <row r="938" customFormat="1" ht="15.75" customHeight="1"/>
    <row r="939" customFormat="1" ht="15.75" customHeight="1"/>
    <row r="940" customFormat="1" ht="15.75" customHeight="1"/>
    <row r="941" customFormat="1" ht="15.75" customHeight="1"/>
    <row r="942" customFormat="1" ht="15.75" customHeight="1"/>
    <row r="943" customFormat="1" ht="15.75" customHeight="1"/>
    <row r="944" customFormat="1" ht="15.75" customHeight="1"/>
    <row r="945" customFormat="1" ht="15.75" customHeight="1"/>
    <row r="946" customFormat="1" ht="15.75" customHeight="1"/>
    <row r="947" customFormat="1" ht="15.75" customHeight="1"/>
    <row r="948" customFormat="1" ht="15.75" customHeight="1"/>
    <row r="949" customFormat="1" ht="15.75" customHeight="1"/>
    <row r="950" customFormat="1" ht="15.75" customHeight="1"/>
    <row r="951" customFormat="1" ht="15.75" customHeight="1"/>
    <row r="952" customFormat="1" ht="15.75" customHeight="1"/>
    <row r="953" customFormat="1" ht="15.75" customHeight="1"/>
    <row r="954" customFormat="1" ht="15.75" customHeight="1"/>
    <row r="955" customFormat="1" ht="15.75" customHeight="1"/>
    <row r="956" customFormat="1" ht="15.75" customHeight="1"/>
    <row r="957" customFormat="1" ht="15.75" customHeight="1"/>
    <row r="958" customFormat="1" ht="15.75" customHeight="1"/>
    <row r="959" customFormat="1" ht="15.75" customHeight="1"/>
    <row r="960" customFormat="1" ht="15.75" customHeight="1"/>
    <row r="961" customFormat="1" ht="15.75" customHeight="1"/>
    <row r="962" customFormat="1" ht="15.75" customHeight="1"/>
    <row r="963" customFormat="1" ht="15.75" customHeight="1"/>
    <row r="964" customFormat="1" ht="15.75" customHeight="1"/>
    <row r="965" customFormat="1" ht="15.75" customHeight="1"/>
    <row r="966" customFormat="1" ht="15.75" customHeight="1"/>
    <row r="967" customFormat="1" ht="15.75" customHeight="1"/>
    <row r="968" customFormat="1" ht="15.75" customHeight="1"/>
    <row r="969" customFormat="1" ht="15.75" customHeight="1"/>
    <row r="970" customFormat="1" ht="15.75" customHeight="1"/>
    <row r="971" customFormat="1" ht="15.75" customHeight="1"/>
    <row r="972" customFormat="1" ht="15.75" customHeight="1"/>
    <row r="973" customFormat="1" ht="15.75" customHeight="1"/>
    <row r="974" customFormat="1" ht="15.75" customHeight="1"/>
    <row r="975" customFormat="1" ht="15.75" customHeight="1"/>
    <row r="976" customFormat="1" ht="15.75" customHeight="1"/>
    <row r="977" customFormat="1" ht="15.75" customHeight="1"/>
    <row r="978" customFormat="1" ht="15.75" customHeight="1"/>
    <row r="979" customFormat="1" ht="15.75" customHeight="1"/>
    <row r="980" customFormat="1" ht="15.75" customHeight="1"/>
    <row r="981" customFormat="1" ht="15.75" customHeight="1"/>
    <row r="982" customFormat="1" ht="15.75" customHeight="1"/>
    <row r="983" customFormat="1" ht="15.75" customHeight="1"/>
    <row r="984" customFormat="1" ht="15.75" customHeight="1"/>
    <row r="985" customFormat="1" ht="15.75" customHeight="1"/>
    <row r="986" customFormat="1" ht="15.75" customHeight="1"/>
    <row r="987" customFormat="1" ht="15.75" customHeight="1"/>
    <row r="988" customFormat="1" ht="15.75" customHeight="1"/>
    <row r="989" customFormat="1" ht="15.75" customHeight="1"/>
    <row r="990" customFormat="1" ht="15.75" customHeight="1"/>
    <row r="991" customFormat="1" ht="15.75" customHeight="1"/>
    <row r="992" customFormat="1" ht="15.75" customHeight="1"/>
    <row r="993" customFormat="1" ht="15.75" customHeight="1"/>
    <row r="994" customFormat="1" ht="15.75" customHeight="1"/>
    <row r="995" customFormat="1" ht="15.75" customHeight="1"/>
    <row r="996" customFormat="1" ht="15.75" customHeight="1"/>
    <row r="997" customFormat="1" ht="15.75" customHeight="1"/>
    <row r="998" customFormat="1" ht="15.75" customHeight="1"/>
    <row r="999" customFormat="1" ht="15.75" customHeight="1"/>
    <row r="1000" customFormat="1" ht="15.75" customHeight="1"/>
    <row r="1001" customFormat="1" ht="15.75" customHeight="1"/>
    <row r="1002" customFormat="1" ht="15.75" customHeight="1"/>
    <row r="1003" customFormat="1" ht="15.75" customHeight="1"/>
    <row r="1004" customFormat="1" ht="15.75" customHeight="1"/>
    <row r="1005" customFormat="1" ht="15.75" customHeight="1"/>
    <row r="1006" customFormat="1" ht="15.75" customHeight="1"/>
    <row r="1007" customFormat="1" ht="15.75" customHeight="1"/>
    <row r="1008" customFormat="1" ht="15.75" customHeight="1"/>
    <row r="1009" customFormat="1" ht="15.75" customHeight="1"/>
    <row r="1010" customFormat="1" ht="15.75" customHeight="1"/>
    <row r="1011" customFormat="1" ht="15.75" customHeight="1"/>
    <row r="1012" customFormat="1" ht="15.75" customHeight="1"/>
    <row r="1013" customFormat="1" ht="15.75" customHeight="1"/>
    <row r="1014" customFormat="1" ht="15.75" customHeight="1"/>
    <row r="1015" customFormat="1" ht="15.75" customHeight="1"/>
    <row r="1016" customFormat="1" ht="15.75" customHeight="1"/>
    <row r="1017" customFormat="1" ht="15.75" customHeight="1"/>
    <row r="1018" customFormat="1" ht="15.75" customHeight="1"/>
    <row r="1019" customFormat="1" ht="15.75" customHeight="1"/>
    <row r="1020" customFormat="1" ht="15.75" customHeight="1"/>
    <row r="1021" customFormat="1" ht="15.75" customHeight="1"/>
    <row r="1022" customFormat="1" ht="15.75" customHeight="1"/>
    <row r="1023" customFormat="1" ht="15.75" customHeight="1"/>
    <row r="1024" customFormat="1" ht="15.75" customHeight="1"/>
    <row r="1025" customFormat="1" ht="15.75" customHeight="1"/>
    <row r="1026" customFormat="1" ht="15.75" customHeight="1"/>
    <row r="1027" customFormat="1" ht="15.75" customHeight="1"/>
    <row r="1028" customFormat="1" ht="15.75" customHeight="1"/>
    <row r="1029" customFormat="1" ht="15.75" customHeight="1"/>
    <row r="1030" customFormat="1" ht="15.75" customHeight="1"/>
    <row r="1031" customFormat="1" ht="15.75" customHeight="1"/>
    <row r="1032" customFormat="1" ht="15.75" customHeight="1"/>
    <row r="1033" customFormat="1" ht="15.75" customHeight="1"/>
    <row r="1034" customFormat="1" ht="15.75" customHeight="1"/>
    <row r="1035" customFormat="1" ht="15.75" customHeight="1"/>
    <row r="1036" customFormat="1" ht="15.75" customHeight="1"/>
    <row r="1037" customFormat="1" ht="15.75" customHeight="1"/>
    <row r="1038" customFormat="1" ht="15.75" customHeight="1"/>
    <row r="1039" customFormat="1" ht="15.75" customHeight="1"/>
    <row r="1040" customFormat="1" ht="15.75" customHeight="1"/>
    <row r="1041" customFormat="1" ht="15.75" customHeight="1"/>
    <row r="1042" customFormat="1" ht="15.75" customHeight="1"/>
    <row r="1043" customFormat="1" ht="15.75" customHeight="1"/>
    <row r="1044" customFormat="1" ht="15.75" customHeight="1"/>
    <row r="1045" customFormat="1" ht="15.75" customHeight="1"/>
    <row r="1046" customFormat="1" ht="15.75" customHeight="1"/>
    <row r="1047" customFormat="1" ht="15.75" customHeight="1"/>
    <row r="1048" customFormat="1" ht="15.75" customHeight="1"/>
    <row r="1049" customFormat="1" ht="15.75" customHeight="1"/>
    <row r="1050" customFormat="1" ht="15.75" customHeight="1"/>
    <row r="1051" customFormat="1" ht="15.75" customHeight="1"/>
    <row r="1052" customFormat="1" ht="15.75" customHeight="1"/>
    <row r="1053" customFormat="1" ht="15.75" customHeight="1"/>
    <row r="1054" customFormat="1" ht="15.75" customHeight="1"/>
    <row r="1055" customFormat="1" ht="15.75" customHeight="1"/>
    <row r="1056" customFormat="1" ht="15.75" customHeight="1"/>
    <row r="1057" customFormat="1" ht="15.75" customHeight="1"/>
    <row r="1058" customFormat="1" ht="15.75" customHeight="1"/>
    <row r="1059" customFormat="1" ht="15.75" customHeight="1"/>
    <row r="1060" customFormat="1" ht="15.75" customHeight="1"/>
    <row r="1061" customFormat="1" ht="15.75" customHeight="1"/>
    <row r="1062" customFormat="1" ht="15.75" customHeight="1"/>
    <row r="1063" customFormat="1" ht="15.75" customHeight="1"/>
    <row r="1064" customFormat="1" ht="15.75" customHeight="1"/>
    <row r="1065" customFormat="1" ht="15.75" customHeight="1"/>
    <row r="1066" customFormat="1" ht="15.75" customHeight="1"/>
    <row r="1067" customFormat="1" ht="15.75" customHeight="1"/>
    <row r="1068" customFormat="1" ht="15.75" customHeight="1"/>
    <row r="1069" customFormat="1" ht="15.75" customHeight="1"/>
    <row r="1070" customFormat="1" ht="15.75" customHeight="1"/>
    <row r="1071" customFormat="1" ht="15.75" customHeight="1"/>
    <row r="1072" customFormat="1" ht="15.75" customHeight="1"/>
    <row r="1073" customFormat="1" ht="15.75" customHeight="1"/>
    <row r="1074" customFormat="1" ht="15.75" customHeight="1"/>
    <row r="1075" customFormat="1" ht="15.75" customHeight="1"/>
    <row r="1076" customFormat="1" ht="15.75" customHeight="1"/>
    <row r="1077" customFormat="1" ht="15.75" customHeight="1"/>
    <row r="1078" customFormat="1" ht="15.75" customHeight="1"/>
    <row r="1079" customFormat="1" ht="15.75" customHeight="1"/>
    <row r="1080" customFormat="1" ht="15.75" customHeight="1"/>
    <row r="1081" customFormat="1" ht="15.75" customHeight="1"/>
    <row r="1082" customFormat="1" ht="15.75" customHeight="1"/>
    <row r="1083" customFormat="1" ht="15.75" customHeight="1"/>
    <row r="1084" customFormat="1" ht="15.75" customHeight="1"/>
    <row r="1085" customFormat="1" ht="15.75" customHeight="1"/>
    <row r="1086" customFormat="1" ht="15.75" customHeight="1"/>
    <row r="1087" customFormat="1" ht="15.75" customHeight="1"/>
    <row r="1088" customFormat="1" ht="15.75" customHeight="1"/>
    <row r="1089" customFormat="1" ht="15.75" customHeight="1"/>
    <row r="1090" customFormat="1" ht="15.75" customHeight="1"/>
    <row r="1091" customFormat="1" ht="15.75" customHeight="1"/>
    <row r="1092" customFormat="1" ht="15.75" customHeight="1"/>
    <row r="1093" customFormat="1" ht="15.75" customHeight="1"/>
    <row r="1094" customFormat="1" ht="15.75" customHeight="1"/>
    <row r="1095" customFormat="1" ht="15.75" customHeight="1"/>
    <row r="1096" customFormat="1" ht="15.75" customHeight="1"/>
    <row r="1097" customFormat="1" ht="15.75" customHeight="1"/>
    <row r="1098" customFormat="1" ht="15.75" customHeight="1"/>
    <row r="1099" customFormat="1" ht="15.75" customHeight="1"/>
    <row r="1100" customFormat="1" ht="15.75" customHeight="1"/>
    <row r="1101" customFormat="1" ht="15.75" customHeight="1"/>
    <row r="1102" customFormat="1" ht="15.75" customHeight="1"/>
    <row r="1103" customFormat="1" ht="15.75" customHeight="1"/>
    <row r="1104" customFormat="1" ht="15.75" customHeight="1"/>
    <row r="1105" customFormat="1" ht="15.75" customHeight="1"/>
    <row r="1106" customFormat="1" ht="15.75" customHeight="1"/>
    <row r="1107" customFormat="1" ht="15.75" customHeight="1"/>
    <row r="1108" customFormat="1" ht="15.75" customHeight="1"/>
    <row r="1109" customFormat="1" ht="15.75" customHeight="1"/>
    <row r="1110" customFormat="1" ht="15.75" customHeight="1"/>
    <row r="1111" customFormat="1" ht="15.75" customHeight="1"/>
    <row r="1112" customFormat="1" ht="15.75" customHeight="1"/>
    <row r="1113" customFormat="1" ht="15.75" customHeight="1"/>
    <row r="1114" customFormat="1" ht="15.75" customHeight="1"/>
    <row r="1115" customFormat="1" ht="15.75" customHeight="1"/>
    <row r="1116" customFormat="1" ht="15.75" customHeight="1"/>
    <row r="1117" customFormat="1" ht="15.75" customHeight="1"/>
    <row r="1118" customFormat="1" ht="15.75" customHeight="1"/>
    <row r="1119" customFormat="1" ht="15.75" customHeight="1"/>
    <row r="1120" customFormat="1" ht="15.75" customHeight="1"/>
    <row r="1121" customFormat="1" ht="15.75" customHeight="1"/>
    <row r="1122" customFormat="1" ht="15.75" customHeight="1"/>
    <row r="1123" customFormat="1" ht="15.75" customHeight="1"/>
    <row r="1124" customFormat="1" ht="15.75" customHeight="1"/>
    <row r="1125" customFormat="1" ht="15.75" customHeight="1"/>
    <row r="1126" customFormat="1" ht="15.75" customHeight="1"/>
    <row r="1127" customFormat="1" ht="15.75" customHeight="1"/>
    <row r="1128" customFormat="1" ht="15.75" customHeight="1"/>
    <row r="1129" customFormat="1" ht="15.75" customHeight="1"/>
    <row r="1130" customFormat="1" ht="15.75" customHeight="1"/>
    <row r="1131" customFormat="1" ht="15.75" customHeight="1"/>
    <row r="1132" customFormat="1" ht="15.75" customHeight="1"/>
    <row r="1133" customFormat="1" ht="15.75" customHeight="1"/>
    <row r="1134" customFormat="1" ht="15.75" customHeight="1"/>
    <row r="1135" customFormat="1" ht="15.75" customHeight="1"/>
    <row r="1136" customFormat="1" ht="15.75" customHeight="1"/>
    <row r="1137" customFormat="1" ht="15.75" customHeight="1"/>
    <row r="1138" customFormat="1" ht="15.75" customHeight="1"/>
    <row r="1139" customFormat="1" ht="15.75" customHeight="1"/>
    <row r="1140" customFormat="1" ht="15.75" customHeight="1"/>
    <row r="1141" customFormat="1" ht="15.75" customHeight="1"/>
    <row r="1142" customFormat="1" ht="15.75" customHeight="1"/>
    <row r="1143" customFormat="1" ht="15.75" customHeight="1"/>
    <row r="1144" customFormat="1" ht="15.75" customHeight="1"/>
    <row r="1145" customFormat="1" ht="15.75" customHeight="1"/>
    <row r="1146" customFormat="1" ht="15.75" customHeight="1"/>
    <row r="1147" customFormat="1" ht="15.75" customHeight="1"/>
    <row r="1148" customFormat="1" ht="15.75" customHeight="1"/>
    <row r="1149" customFormat="1" ht="15.75" customHeight="1"/>
    <row r="1150" customFormat="1" ht="15.75" customHeight="1"/>
    <row r="1151" customFormat="1" ht="15.75" customHeight="1"/>
    <row r="1152" customFormat="1" ht="15.75" customHeight="1"/>
    <row r="1153" customFormat="1" ht="15.75" customHeight="1"/>
    <row r="1154" customFormat="1" ht="15.75" customHeight="1"/>
    <row r="1155" customFormat="1" ht="15.75" customHeight="1"/>
    <row r="1156" customFormat="1" ht="15.75" customHeight="1"/>
    <row r="1157" customFormat="1" ht="15.75" customHeight="1"/>
    <row r="1158" customFormat="1" ht="15.75" customHeight="1"/>
    <row r="1159" customFormat="1" ht="15.75" customHeight="1"/>
    <row r="1160" customFormat="1" ht="15.75" customHeight="1"/>
    <row r="1161" customFormat="1" ht="15.75" customHeight="1"/>
    <row r="1162" customFormat="1" ht="15.75" customHeight="1"/>
    <row r="1163" customFormat="1" ht="15.75" customHeight="1"/>
    <row r="1164" customFormat="1" ht="15.75" customHeight="1"/>
    <row r="1165" customFormat="1" ht="15.75" customHeight="1"/>
    <row r="1166" customFormat="1" ht="15.75" customHeight="1"/>
    <row r="1167" customFormat="1" ht="15.75" customHeight="1"/>
    <row r="1168" customFormat="1" ht="15.75" customHeight="1"/>
    <row r="1169" customFormat="1" ht="15.75" customHeight="1"/>
    <row r="1170" customFormat="1" ht="15.75" customHeight="1"/>
    <row r="1171" customFormat="1" ht="15.75" customHeight="1"/>
    <row r="1172" customFormat="1" ht="15.75" customHeight="1"/>
    <row r="1173" customFormat="1" ht="15.75" customHeight="1"/>
    <row r="1174" customFormat="1" ht="15.75" customHeight="1"/>
    <row r="1175" customFormat="1" ht="15.75" customHeight="1"/>
    <row r="1176" customFormat="1" ht="15.75" customHeight="1"/>
    <row r="1177" customFormat="1" ht="15.75" customHeight="1"/>
    <row r="1178" customFormat="1" ht="15.75" customHeight="1"/>
    <row r="1179" customFormat="1" ht="15.75" customHeight="1"/>
    <row r="1180" customFormat="1" ht="15.75" customHeight="1"/>
    <row r="1181" customFormat="1" ht="15.75" customHeight="1"/>
    <row r="1182" customFormat="1" ht="15.75" customHeight="1"/>
    <row r="1183" customFormat="1" ht="15.75" customHeight="1"/>
    <row r="1184" customFormat="1" ht="15.75" customHeight="1"/>
    <row r="1185" customFormat="1" ht="15.75" customHeight="1"/>
    <row r="1186" customFormat="1" ht="15.75" customHeight="1"/>
    <row r="1187" customFormat="1" ht="15.75" customHeight="1"/>
    <row r="1188" customFormat="1" ht="15.75" customHeight="1"/>
    <row r="1189" customFormat="1" ht="15.75" customHeight="1"/>
    <row r="1190" customFormat="1" ht="15.75" customHeight="1"/>
    <row r="1191" customFormat="1" ht="15.75" customHeight="1"/>
    <row r="1192" customFormat="1" ht="15.75" customHeight="1"/>
    <row r="1193" customFormat="1" ht="15.75" customHeight="1"/>
    <row r="1194" customFormat="1" ht="15.75" customHeight="1"/>
    <row r="1195" customFormat="1" ht="15.75" customHeight="1"/>
    <row r="1196" customFormat="1" ht="15.75" customHeight="1"/>
    <row r="1197" customFormat="1" ht="15.75" customHeight="1"/>
    <row r="1198" customFormat="1" ht="15.75" customHeight="1"/>
    <row r="1199" customFormat="1" ht="15.75" customHeight="1"/>
    <row r="1200" customFormat="1" ht="15.75" customHeight="1"/>
    <row r="1201" customFormat="1" ht="15.75" customHeight="1"/>
    <row r="1202" customFormat="1" ht="15.75" customHeight="1"/>
    <row r="1203" customFormat="1" ht="15.75" customHeight="1"/>
    <row r="1204" customFormat="1" ht="15.75" customHeight="1"/>
    <row r="1205" customFormat="1" ht="15.75" customHeight="1"/>
    <row r="1206" customFormat="1" ht="15.75" customHeight="1"/>
    <row r="1207" customFormat="1" ht="15.75" customHeight="1"/>
    <row r="1208" customFormat="1" ht="15.75" customHeight="1"/>
    <row r="1209" customFormat="1" ht="15.75" customHeight="1"/>
    <row r="1210" customFormat="1" ht="15.75" customHeight="1"/>
    <row r="1211" customFormat="1" ht="15.75" customHeight="1"/>
    <row r="1212" customFormat="1" ht="15.75" customHeight="1"/>
    <row r="1213" customFormat="1" ht="15.75" customHeight="1"/>
    <row r="1214" customFormat="1" ht="15.75" customHeight="1"/>
    <row r="1215" customFormat="1" ht="15.75" customHeight="1"/>
    <row r="1216" customFormat="1" ht="15.75" customHeight="1"/>
    <row r="1217" customFormat="1" ht="15.75" customHeight="1"/>
    <row r="1218" customFormat="1" ht="15.75" customHeight="1"/>
    <row r="1219" customFormat="1" ht="15.75" customHeight="1"/>
    <row r="1220" customFormat="1" ht="15.75" customHeight="1"/>
    <row r="1221" customFormat="1" ht="15.75" customHeight="1"/>
    <row r="1222" customFormat="1" ht="15.75" customHeight="1"/>
    <row r="1223" customFormat="1" ht="15.75" customHeight="1"/>
    <row r="1224" customFormat="1" ht="15.75" customHeight="1"/>
    <row r="1225" customFormat="1" ht="15.75" customHeight="1"/>
    <row r="1226" customFormat="1" ht="15.75" customHeight="1"/>
    <row r="1227" customFormat="1" ht="15.75" customHeight="1"/>
    <row r="1228" customFormat="1" ht="15.75" customHeight="1"/>
    <row r="1229" customFormat="1" ht="15.75" customHeight="1"/>
    <row r="1230" customFormat="1" ht="15.75" customHeight="1"/>
    <row r="1231" customFormat="1" ht="15.75" customHeight="1"/>
    <row r="1232" customFormat="1" ht="15.75" customHeight="1"/>
    <row r="1233" spans="1:33" ht="15.75" customHeight="1">
      <c r="A1233"/>
      <c r="E1233"/>
      <c r="F1233"/>
      <c r="G1233"/>
      <c r="H1233"/>
      <c r="I1233"/>
      <c r="J1233"/>
      <c r="K1233"/>
      <c r="L1233"/>
      <c r="M1233"/>
      <c r="N1233"/>
      <c r="O1233"/>
      <c r="P1233"/>
      <c r="Q1233"/>
      <c r="R1233"/>
      <c r="S1233"/>
      <c r="T1233"/>
      <c r="U1233"/>
      <c r="V1233"/>
      <c r="W1233"/>
      <c r="X1233"/>
      <c r="Y1233"/>
      <c r="Z1233"/>
      <c r="AA1233"/>
      <c r="AB1233"/>
      <c r="AC1233"/>
      <c r="AD1233"/>
      <c r="AE1233"/>
      <c r="AG1233"/>
    </row>
    <row r="1234" spans="1:33" ht="15.75" customHeight="1">
      <c r="A1234"/>
      <c r="E1234"/>
      <c r="F1234"/>
      <c r="G1234"/>
      <c r="H1234"/>
      <c r="I1234"/>
      <c r="J1234"/>
      <c r="K1234"/>
      <c r="L1234"/>
      <c r="M1234"/>
      <c r="N1234"/>
      <c r="O1234"/>
      <c r="P1234"/>
      <c r="Q1234"/>
      <c r="R1234"/>
      <c r="S1234"/>
      <c r="T1234"/>
      <c r="U1234"/>
      <c r="V1234"/>
      <c r="W1234"/>
      <c r="X1234"/>
      <c r="Y1234"/>
      <c r="Z1234"/>
      <c r="AA1234"/>
      <c r="AB1234"/>
      <c r="AC1234"/>
      <c r="AD1234"/>
      <c r="AE1234"/>
      <c r="AG1234"/>
    </row>
    <row r="1235" spans="1:33" ht="15.75" customHeight="1">
      <c r="A1235"/>
      <c r="E1235"/>
      <c r="F1235"/>
      <c r="G1235"/>
      <c r="H1235"/>
      <c r="I1235"/>
      <c r="J1235"/>
      <c r="K1235"/>
      <c r="L1235"/>
      <c r="M1235"/>
      <c r="N1235"/>
      <c r="O1235"/>
      <c r="P1235"/>
      <c r="Q1235"/>
      <c r="R1235"/>
      <c r="S1235"/>
      <c r="T1235"/>
      <c r="U1235"/>
      <c r="V1235"/>
      <c r="W1235"/>
      <c r="X1235"/>
      <c r="Y1235"/>
      <c r="Z1235"/>
      <c r="AA1235"/>
      <c r="AB1235"/>
      <c r="AC1235"/>
      <c r="AD1235"/>
      <c r="AE1235"/>
      <c r="AG1235"/>
    </row>
    <row r="1236" spans="1:33" ht="15.75" customHeight="1">
      <c r="A1236"/>
      <c r="E1236"/>
      <c r="F1236"/>
      <c r="G1236"/>
      <c r="H1236"/>
      <c r="I1236"/>
      <c r="J1236"/>
      <c r="K1236"/>
      <c r="L1236"/>
      <c r="M1236"/>
      <c r="N1236"/>
      <c r="O1236"/>
      <c r="P1236"/>
      <c r="Q1236"/>
      <c r="R1236"/>
      <c r="S1236"/>
      <c r="T1236"/>
      <c r="U1236"/>
      <c r="V1236"/>
      <c r="W1236"/>
      <c r="X1236"/>
      <c r="Y1236"/>
      <c r="Z1236"/>
      <c r="AA1236"/>
      <c r="AB1236"/>
      <c r="AC1236"/>
      <c r="AD1236"/>
      <c r="AE1236"/>
      <c r="AG1236"/>
    </row>
    <row r="1237" spans="1:33" ht="15.75" customHeight="1">
      <c r="A1237"/>
      <c r="E1237"/>
      <c r="F1237"/>
      <c r="G1237"/>
      <c r="H1237"/>
      <c r="I1237"/>
      <c r="J1237"/>
      <c r="K1237"/>
      <c r="L1237"/>
      <c r="M1237"/>
      <c r="N1237"/>
      <c r="O1237"/>
      <c r="P1237"/>
      <c r="Q1237"/>
      <c r="R1237"/>
      <c r="S1237"/>
      <c r="T1237"/>
      <c r="U1237"/>
      <c r="V1237"/>
      <c r="W1237"/>
      <c r="X1237"/>
      <c r="Y1237"/>
      <c r="Z1237"/>
      <c r="AA1237"/>
      <c r="AB1237"/>
      <c r="AC1237"/>
      <c r="AD1237"/>
      <c r="AE1237"/>
      <c r="AG1237"/>
    </row>
    <row r="1238" spans="1:33" ht="15.75" customHeight="1">
      <c r="A1238"/>
      <c r="E1238"/>
      <c r="F1238"/>
      <c r="G1238"/>
      <c r="H1238"/>
      <c r="I1238"/>
      <c r="J1238"/>
      <c r="K1238"/>
      <c r="L1238"/>
      <c r="M1238"/>
      <c r="N1238"/>
      <c r="O1238"/>
      <c r="P1238"/>
      <c r="Q1238"/>
      <c r="R1238"/>
      <c r="S1238"/>
      <c r="T1238"/>
      <c r="U1238"/>
      <c r="V1238"/>
      <c r="W1238"/>
      <c r="X1238"/>
      <c r="Y1238"/>
      <c r="Z1238"/>
      <c r="AA1238"/>
      <c r="AB1238"/>
      <c r="AC1238"/>
      <c r="AD1238"/>
      <c r="AE1238"/>
      <c r="AG1238"/>
    </row>
    <row r="1239" spans="1:33" ht="15.75" customHeight="1">
      <c r="A1239"/>
      <c r="E1239"/>
      <c r="F1239"/>
      <c r="G1239"/>
      <c r="H1239"/>
      <c r="I1239"/>
      <c r="J1239"/>
      <c r="K1239"/>
      <c r="L1239"/>
      <c r="M1239"/>
      <c r="N1239"/>
      <c r="O1239"/>
      <c r="P1239"/>
      <c r="Q1239"/>
      <c r="R1239"/>
      <c r="S1239"/>
      <c r="T1239"/>
      <c r="U1239"/>
      <c r="V1239"/>
      <c r="W1239"/>
      <c r="X1239"/>
      <c r="Y1239"/>
      <c r="Z1239"/>
      <c r="AA1239"/>
      <c r="AB1239"/>
      <c r="AC1239"/>
      <c r="AD1239"/>
      <c r="AE1239"/>
      <c r="AG1239"/>
    </row>
    <row r="1240" spans="1:33" ht="15.75" customHeight="1">
      <c r="A1240"/>
      <c r="E1240"/>
      <c r="F1240"/>
      <c r="G1240"/>
      <c r="H1240"/>
      <c r="I1240"/>
      <c r="J1240"/>
      <c r="K1240"/>
      <c r="L1240"/>
      <c r="M1240"/>
      <c r="N1240"/>
      <c r="O1240"/>
      <c r="P1240"/>
      <c r="Q1240"/>
      <c r="R1240"/>
      <c r="S1240"/>
      <c r="T1240"/>
      <c r="U1240"/>
      <c r="V1240"/>
      <c r="W1240"/>
      <c r="X1240"/>
      <c r="Y1240"/>
      <c r="Z1240"/>
      <c r="AA1240"/>
      <c r="AB1240"/>
      <c r="AC1240"/>
      <c r="AD1240"/>
      <c r="AE1240"/>
      <c r="AG1240"/>
    </row>
    <row r="1241" spans="1:33" ht="15.75" customHeight="1">
      <c r="A1241"/>
      <c r="E1241"/>
      <c r="F1241"/>
      <c r="G1241"/>
      <c r="H1241"/>
      <c r="I1241"/>
      <c r="J1241"/>
      <c r="K1241"/>
      <c r="L1241"/>
      <c r="M1241"/>
      <c r="N1241"/>
      <c r="O1241"/>
      <c r="P1241"/>
      <c r="Q1241"/>
      <c r="R1241"/>
      <c r="S1241"/>
      <c r="T1241"/>
      <c r="U1241"/>
      <c r="V1241"/>
      <c r="W1241"/>
      <c r="X1241"/>
      <c r="Y1241"/>
      <c r="Z1241"/>
      <c r="AA1241"/>
      <c r="AB1241"/>
      <c r="AC1241"/>
      <c r="AD1241"/>
      <c r="AE1241"/>
      <c r="AG1241"/>
    </row>
    <row r="1242" spans="1:33" ht="15.75" customHeight="1">
      <c r="A1242"/>
      <c r="E1242"/>
      <c r="F1242"/>
      <c r="G1242"/>
      <c r="H1242"/>
      <c r="I1242"/>
      <c r="J1242"/>
      <c r="K1242"/>
      <c r="L1242"/>
      <c r="M1242"/>
      <c r="N1242"/>
      <c r="O1242"/>
      <c r="P1242"/>
      <c r="Q1242"/>
      <c r="R1242"/>
      <c r="S1242"/>
      <c r="T1242"/>
      <c r="U1242"/>
      <c r="V1242"/>
      <c r="W1242"/>
      <c r="X1242"/>
      <c r="Y1242"/>
      <c r="Z1242"/>
      <c r="AA1242"/>
      <c r="AB1242"/>
      <c r="AC1242"/>
      <c r="AD1242"/>
      <c r="AE1242"/>
      <c r="AG1242"/>
    </row>
    <row r="1243" spans="1:33" ht="15.75" customHeight="1">
      <c r="A1243"/>
      <c r="E1243"/>
      <c r="F1243"/>
      <c r="G1243"/>
      <c r="H1243"/>
      <c r="I1243"/>
      <c r="J1243"/>
      <c r="K1243"/>
      <c r="L1243"/>
      <c r="M1243"/>
      <c r="N1243"/>
      <c r="O1243"/>
      <c r="P1243"/>
      <c r="Q1243"/>
      <c r="R1243"/>
      <c r="S1243"/>
      <c r="T1243"/>
      <c r="U1243"/>
      <c r="V1243"/>
      <c r="W1243"/>
      <c r="X1243"/>
      <c r="Y1243"/>
      <c r="Z1243"/>
      <c r="AA1243"/>
      <c r="AB1243"/>
      <c r="AC1243"/>
      <c r="AD1243"/>
      <c r="AE1243"/>
      <c r="AG1243"/>
    </row>
    <row r="1244" spans="1:33" ht="15.75" customHeight="1">
      <c r="A1244"/>
      <c r="E1244"/>
      <c r="F1244"/>
      <c r="G1244"/>
      <c r="H1244"/>
      <c r="I1244"/>
      <c r="J1244"/>
      <c r="K1244"/>
      <c r="L1244"/>
      <c r="M1244"/>
      <c r="N1244"/>
      <c r="O1244"/>
      <c r="P1244"/>
      <c r="Q1244"/>
      <c r="R1244"/>
      <c r="S1244"/>
      <c r="T1244"/>
      <c r="U1244"/>
      <c r="V1244"/>
      <c r="W1244"/>
      <c r="X1244"/>
      <c r="Y1244"/>
      <c r="Z1244"/>
      <c r="AA1244"/>
      <c r="AB1244"/>
      <c r="AC1244"/>
      <c r="AD1244"/>
      <c r="AE1244"/>
      <c r="AG1244"/>
    </row>
    <row r="1245" spans="1:33" ht="15.75" customHeight="1">
      <c r="A1245"/>
      <c r="E1245"/>
      <c r="F1245"/>
      <c r="G1245"/>
      <c r="H1245"/>
      <c r="I1245"/>
      <c r="J1245"/>
      <c r="K1245"/>
      <c r="L1245"/>
      <c r="M1245"/>
      <c r="N1245"/>
      <c r="O1245"/>
      <c r="P1245"/>
      <c r="Q1245"/>
      <c r="R1245"/>
      <c r="S1245"/>
      <c r="T1245"/>
      <c r="U1245"/>
      <c r="V1245"/>
      <c r="W1245"/>
      <c r="X1245"/>
      <c r="Y1245"/>
      <c r="Z1245"/>
      <c r="AA1245"/>
      <c r="AB1245"/>
      <c r="AC1245"/>
      <c r="AD1245"/>
      <c r="AE1245"/>
      <c r="AG1245"/>
    </row>
    <row r="1246" spans="1:33" ht="15.75" customHeight="1">
      <c r="A1246"/>
      <c r="E1246"/>
      <c r="F1246"/>
      <c r="G1246"/>
      <c r="H1246"/>
      <c r="I1246"/>
      <c r="J1246"/>
      <c r="K1246"/>
      <c r="L1246"/>
      <c r="M1246"/>
      <c r="N1246"/>
      <c r="O1246"/>
      <c r="P1246"/>
      <c r="Q1246"/>
      <c r="R1246"/>
      <c r="S1246"/>
      <c r="T1246"/>
      <c r="U1246"/>
      <c r="V1246"/>
      <c r="W1246"/>
      <c r="X1246"/>
      <c r="Y1246"/>
      <c r="Z1246"/>
      <c r="AA1246"/>
      <c r="AB1246"/>
      <c r="AC1246"/>
      <c r="AD1246"/>
      <c r="AE1246"/>
      <c r="AG1246"/>
    </row>
    <row r="1247" spans="1:33" ht="15.75" customHeight="1">
      <c r="A1247"/>
    </row>
    <row r="1248" spans="1:33" ht="15.75" customHeight="1">
      <c r="A1248"/>
    </row>
    <row r="1249" customFormat="1" ht="15.75" customHeight="1"/>
    <row r="1250" customFormat="1" ht="15.75" customHeight="1"/>
    <row r="1251" customFormat="1" ht="15.75" customHeight="1"/>
    <row r="1252" customFormat="1" ht="15.75" customHeight="1"/>
    <row r="1253" customFormat="1" ht="15.75" customHeight="1"/>
    <row r="1254" customFormat="1" ht="15.75" customHeight="1"/>
    <row r="1255" customFormat="1" ht="15.75" customHeight="1"/>
    <row r="1256" customFormat="1" ht="15.75" customHeight="1"/>
    <row r="1257" customFormat="1" ht="15.75" customHeight="1"/>
    <row r="1258" customFormat="1" ht="15.75" customHeight="1"/>
    <row r="1259" customFormat="1" ht="15.75" customHeight="1"/>
    <row r="1260" customFormat="1" ht="15.75" customHeight="1"/>
    <row r="1261" customFormat="1" ht="15.75" customHeight="1"/>
    <row r="1262" customFormat="1" ht="15.75" customHeight="1"/>
    <row r="1263" customFormat="1" ht="15.75" customHeight="1"/>
    <row r="1264" customFormat="1" ht="15.75" customHeight="1"/>
    <row r="1265" customFormat="1" ht="15.75" customHeight="1"/>
    <row r="1266" customFormat="1" ht="15.75" customHeight="1"/>
    <row r="1267" customFormat="1" ht="15.75" customHeight="1"/>
    <row r="1268" customFormat="1" ht="15.75" customHeight="1"/>
    <row r="1269" customFormat="1" ht="15.75" customHeight="1"/>
    <row r="1270" customFormat="1" ht="15.75" customHeight="1"/>
    <row r="1271" customFormat="1" ht="15.75" customHeight="1"/>
    <row r="1272" customFormat="1" ht="15.75" customHeight="1"/>
    <row r="1273" customFormat="1" ht="15.75" customHeight="1"/>
    <row r="1274" customFormat="1" ht="15.75" customHeight="1"/>
    <row r="1275" customFormat="1" ht="15.75" customHeight="1"/>
    <row r="1276" customFormat="1" ht="15.75" customHeight="1"/>
    <row r="1277" customFormat="1" ht="15.75" customHeight="1"/>
    <row r="1278" customFormat="1" ht="15.75" customHeight="1"/>
    <row r="1279" customFormat="1" ht="15.75" customHeight="1"/>
    <row r="1280" customFormat="1" ht="15.75" customHeight="1"/>
    <row r="1281" customFormat="1" ht="15.75" customHeight="1"/>
    <row r="1282" customFormat="1" ht="15.75" customHeight="1"/>
    <row r="1283" customFormat="1" ht="15.75" customHeight="1"/>
    <row r="1284" customFormat="1" ht="15.75" customHeight="1"/>
    <row r="1285" customFormat="1" ht="15.75" customHeight="1"/>
    <row r="1286" customFormat="1" ht="15.75" customHeight="1"/>
    <row r="1287" customFormat="1" ht="15.75" customHeight="1"/>
    <row r="1288" customFormat="1" ht="15.75" customHeight="1"/>
    <row r="1289" customFormat="1" ht="15.75" customHeight="1"/>
    <row r="1290" customFormat="1" ht="15.75" customHeight="1"/>
    <row r="1291" customFormat="1" ht="15.75" customHeight="1"/>
    <row r="1292" customFormat="1" ht="15.75" customHeight="1"/>
    <row r="1293" customFormat="1" ht="15.75" customHeight="1"/>
    <row r="1294" customFormat="1" ht="15.75" customHeight="1"/>
    <row r="1295" customFormat="1" ht="15.75" customHeight="1"/>
    <row r="1296" customFormat="1" ht="15.75" customHeight="1"/>
    <row r="1297" customFormat="1" ht="15.75" customHeight="1"/>
    <row r="1298" customFormat="1" ht="15.75" customHeight="1"/>
    <row r="1299" customFormat="1" ht="15.75" customHeight="1"/>
    <row r="1300" customFormat="1" ht="15.75" customHeight="1"/>
    <row r="1301" customFormat="1" ht="15.75" customHeight="1"/>
    <row r="1302" customFormat="1" ht="15.75" customHeight="1"/>
    <row r="1303" customFormat="1" ht="15.75" customHeight="1"/>
    <row r="1304" customFormat="1" ht="15.75" customHeight="1"/>
    <row r="1305" customFormat="1" ht="15.75" customHeight="1"/>
    <row r="1306" customFormat="1" ht="15.75" customHeight="1"/>
    <row r="1307" customFormat="1" ht="15.75" customHeight="1"/>
    <row r="1308" customFormat="1" ht="15.75" customHeight="1"/>
    <row r="1309" customFormat="1" ht="15.75" customHeight="1"/>
    <row r="1310" customFormat="1" ht="15.75" customHeight="1"/>
    <row r="1311" customFormat="1" ht="15.75" customHeight="1"/>
    <row r="1312" customFormat="1" ht="15.75" customHeight="1"/>
    <row r="1313" customFormat="1" ht="15.75" customHeight="1"/>
    <row r="1314" customFormat="1" ht="15.75" customHeight="1"/>
    <row r="1315" customFormat="1" ht="15.75" customHeight="1"/>
    <row r="1316" customFormat="1" ht="15.75" customHeight="1"/>
    <row r="1317" customFormat="1" ht="15.75" customHeight="1"/>
    <row r="1318" customFormat="1" ht="15.75" customHeight="1"/>
    <row r="1319" customFormat="1" ht="15.75" customHeight="1"/>
    <row r="1320" customFormat="1" ht="15.75" customHeight="1"/>
    <row r="1321" customFormat="1" ht="15.75" customHeight="1"/>
    <row r="1322" customFormat="1" ht="15.75" customHeight="1"/>
    <row r="1323" customFormat="1" ht="15.75" customHeight="1"/>
    <row r="1324" customFormat="1" ht="15.75" customHeight="1"/>
    <row r="1325" customFormat="1" ht="15.75" customHeight="1"/>
    <row r="1326" customFormat="1" ht="15.75" customHeight="1"/>
    <row r="1327" customFormat="1" ht="15.75" customHeight="1"/>
    <row r="1328" customFormat="1" ht="15.75" customHeight="1"/>
    <row r="1329" customFormat="1" ht="15.75" customHeight="1"/>
    <row r="1330" customFormat="1" ht="15.75" customHeight="1"/>
    <row r="1331" customFormat="1" ht="15.75" customHeight="1"/>
    <row r="1332" customFormat="1" ht="15.75" customHeight="1"/>
    <row r="1333" customFormat="1" ht="15.75" customHeight="1"/>
    <row r="1334" customFormat="1" ht="15.75" customHeight="1"/>
    <row r="1335" customFormat="1" ht="15.75" customHeight="1"/>
    <row r="1336" customFormat="1" ht="15.75" customHeight="1"/>
    <row r="1337" customFormat="1" ht="15.75" customHeight="1"/>
    <row r="1338" customFormat="1" ht="15.75" customHeight="1"/>
    <row r="1339" customFormat="1" ht="15.75" customHeight="1"/>
    <row r="1340" customFormat="1" ht="15.75" customHeight="1"/>
    <row r="1341" customFormat="1" ht="15.75" customHeight="1"/>
    <row r="1342" customFormat="1" ht="15.75" customHeight="1"/>
    <row r="1343" customFormat="1" ht="15.75" customHeight="1"/>
    <row r="1344" customFormat="1" ht="15.75" customHeight="1"/>
    <row r="1345" customFormat="1" ht="15.75" customHeight="1"/>
    <row r="1346" customFormat="1" ht="15.75" customHeight="1"/>
    <row r="1347" customFormat="1" ht="15.75" customHeight="1"/>
    <row r="1348" customFormat="1" ht="15.75" customHeight="1"/>
  </sheetData>
  <sheetProtection password="CADD" sheet="1" objects="1" scenarios="1"/>
  <mergeCells count="23">
    <mergeCell ref="A112:B112"/>
    <mergeCell ref="A119:B119"/>
    <mergeCell ref="A126:B126"/>
    <mergeCell ref="E2:AH2"/>
    <mergeCell ref="E7:AH7"/>
    <mergeCell ref="A77:B77"/>
    <mergeCell ref="A84:B84"/>
    <mergeCell ref="A91:B91"/>
    <mergeCell ref="A98:B98"/>
    <mergeCell ref="A105:B105"/>
    <mergeCell ref="A42:B42"/>
    <mergeCell ref="A49:B49"/>
    <mergeCell ref="A56:B56"/>
    <mergeCell ref="A63:B63"/>
    <mergeCell ref="A70:B70"/>
    <mergeCell ref="A1:A2"/>
    <mergeCell ref="B1:G1"/>
    <mergeCell ref="A14:B14"/>
    <mergeCell ref="A28:B28"/>
    <mergeCell ref="A35:B35"/>
    <mergeCell ref="A21:B21"/>
    <mergeCell ref="A5:D5"/>
    <mergeCell ref="A6:D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sults.Results">
                <anchor moveWithCells="1" sizeWithCells="1">
                  <from>
                    <xdr:col>25</xdr:col>
                    <xdr:colOff>190500</xdr:colOff>
                    <xdr:row>0</xdr:row>
                    <xdr:rowOff>158750</xdr:rowOff>
                  </from>
                  <to>
                    <xdr:col>29</xdr:col>
                    <xdr:colOff>336550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0000000}">
          <x14:formula1>
            <xm:f>'Drop Down Info'!$B$106:$B$126</xm:f>
          </x14:formula1>
          <xm:sqref>E8:AH12 E15:AH19 E22:AH26 E29:AH33 E36:AH40 E43:AH47 E50:AH54 E57:AH61 E64:AH68 E71:AH75 E78:AH82 E85:AH89 E92:AH96 E99:AH103 E106:AH110 E113:AH117 E120:AH124</xm:sqref>
        </x14:dataValidation>
        <x14:dataValidation type="list" allowBlank="1" showInputMessage="1" showErrorMessage="1" xr:uid="{00000000-0002-0000-0300-000001000000}">
          <x14:formula1>
            <xm:f>'Drop Down Info'!$C$106:$C$107</xm:f>
          </x14:formula1>
          <xm:sqref>E13:AH13 E20:AH20 E27:AH27 E34:AH34 E41:AH41 E48:AH48 E55:AH55 E62:AH62 E69:AH69 E76:AH76 E83:AH83 E90:AH90 E97:AH97 E104:AH104 E111:AH111 E118:AH118 E125:AH125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591AD-4CF2-430B-AFBC-B349EBBAAEC6}">
  <dimension ref="A1:K43"/>
  <sheetViews>
    <sheetView topLeftCell="A25" workbookViewId="0">
      <selection activeCell="A43" sqref="A43"/>
    </sheetView>
  </sheetViews>
  <sheetFormatPr baseColWidth="10" defaultRowHeight="15.5"/>
  <cols>
    <col min="1" max="1" width="2.6328125" style="81" customWidth="1"/>
    <col min="2" max="11" width="9.6328125" style="81" customWidth="1"/>
    <col min="12" max="16384" width="10.90625" style="81"/>
  </cols>
  <sheetData>
    <row r="1" spans="1:11">
      <c r="A1" s="131" t="s">
        <v>291</v>
      </c>
      <c r="B1" s="132"/>
      <c r="C1" s="132"/>
      <c r="D1" s="132"/>
      <c r="E1" s="132"/>
      <c r="F1" s="132"/>
      <c r="G1" s="132"/>
      <c r="H1" s="132"/>
      <c r="I1" s="132"/>
      <c r="J1" s="132"/>
      <c r="K1" s="132"/>
    </row>
    <row r="3" spans="1:11">
      <c r="A3" s="107" t="s">
        <v>292</v>
      </c>
      <c r="E3" s="107" t="s">
        <v>293</v>
      </c>
    </row>
    <row r="4" spans="1:11">
      <c r="G4" s="107" t="s">
        <v>294</v>
      </c>
    </row>
    <row r="5" spans="1:11" ht="65" customHeight="1">
      <c r="A5" s="133" t="s">
        <v>295</v>
      </c>
      <c r="B5" s="134"/>
      <c r="C5" s="134"/>
      <c r="D5" s="134"/>
      <c r="E5" s="134"/>
      <c r="F5" s="134"/>
      <c r="G5" s="134"/>
      <c r="H5" s="134"/>
      <c r="I5" s="134"/>
      <c r="J5" s="134"/>
      <c r="K5" s="135"/>
    </row>
    <row r="6" spans="1:11" ht="15" customHeight="1">
      <c r="A6" s="84"/>
      <c r="B6" s="136" t="s">
        <v>296</v>
      </c>
      <c r="C6" s="136"/>
      <c r="D6" s="136"/>
      <c r="E6" s="136"/>
      <c r="F6" s="136"/>
      <c r="G6" s="136"/>
      <c r="H6" s="136"/>
      <c r="I6" s="136"/>
      <c r="J6" s="136"/>
      <c r="K6" s="137"/>
    </row>
    <row r="7" spans="1:11" ht="15" customHeight="1">
      <c r="A7" s="84"/>
      <c r="B7" s="136" t="s">
        <v>297</v>
      </c>
      <c r="C7" s="136"/>
      <c r="D7" s="136"/>
      <c r="E7" s="136"/>
      <c r="F7" s="136"/>
      <c r="G7" s="136"/>
      <c r="H7" s="136"/>
      <c r="I7" s="136"/>
      <c r="J7" s="136"/>
      <c r="K7" s="137"/>
    </row>
    <row r="8" spans="1:11" ht="15" customHeight="1">
      <c r="A8" s="87"/>
      <c r="B8" s="136" t="s">
        <v>298</v>
      </c>
      <c r="C8" s="136"/>
      <c r="D8" s="136"/>
      <c r="E8" s="136"/>
      <c r="F8" s="136"/>
      <c r="G8" s="136"/>
      <c r="H8" s="136"/>
      <c r="I8" s="136"/>
      <c r="J8" s="136"/>
      <c r="K8" s="137"/>
    </row>
    <row r="9" spans="1:11">
      <c r="B9" s="127" t="s">
        <v>320</v>
      </c>
      <c r="C9" s="128"/>
      <c r="D9" s="127" t="s">
        <v>321</v>
      </c>
      <c r="E9" s="128"/>
      <c r="F9" s="127" t="s">
        <v>322</v>
      </c>
      <c r="G9" s="128"/>
      <c r="H9" s="127" t="s">
        <v>323</v>
      </c>
      <c r="I9" s="128"/>
      <c r="J9" s="127" t="s">
        <v>324</v>
      </c>
      <c r="K9" s="128"/>
    </row>
    <row r="10" spans="1:11">
      <c r="A10" s="138" t="s">
        <v>299</v>
      </c>
      <c r="B10" s="139"/>
      <c r="C10" s="139"/>
      <c r="D10" s="139"/>
      <c r="E10" s="139"/>
      <c r="F10" s="139"/>
      <c r="G10" s="139"/>
      <c r="H10" s="139"/>
      <c r="I10" s="140"/>
      <c r="J10" s="103" t="s">
        <v>300</v>
      </c>
      <c r="K10" s="104"/>
    </row>
    <row r="11" spans="1:11">
      <c r="A11" s="96" t="s">
        <v>62</v>
      </c>
      <c r="B11" s="86"/>
      <c r="C11" s="86"/>
      <c r="D11" s="86"/>
      <c r="E11" s="86"/>
      <c r="F11" s="86"/>
      <c r="G11" s="86"/>
      <c r="H11" s="86"/>
      <c r="I11" s="93"/>
      <c r="J11" s="97" t="s">
        <v>305</v>
      </c>
      <c r="K11" s="98">
        <v>1</v>
      </c>
    </row>
    <row r="12" spans="1:11">
      <c r="A12" s="84"/>
      <c r="B12" s="83" t="s">
        <v>301</v>
      </c>
      <c r="C12" s="82"/>
      <c r="D12" s="82"/>
      <c r="E12" s="82"/>
      <c r="F12" s="82"/>
      <c r="G12" s="82"/>
      <c r="H12" s="82"/>
      <c r="I12" s="94"/>
      <c r="J12" s="99"/>
      <c r="K12" s="100"/>
    </row>
    <row r="13" spans="1:11">
      <c r="A13" s="84"/>
      <c r="B13" s="83" t="s">
        <v>302</v>
      </c>
      <c r="C13" s="82"/>
      <c r="D13" s="82"/>
      <c r="E13" s="82"/>
      <c r="F13" s="82"/>
      <c r="G13" s="82"/>
      <c r="H13" s="82"/>
      <c r="I13" s="94"/>
      <c r="J13" s="99"/>
      <c r="K13" s="100"/>
    </row>
    <row r="14" spans="1:11">
      <c r="A14" s="84"/>
      <c r="B14" s="83" t="s">
        <v>303</v>
      </c>
      <c r="C14" s="82"/>
      <c r="D14" s="82"/>
      <c r="E14" s="82"/>
      <c r="F14" s="82"/>
      <c r="G14" s="82"/>
      <c r="H14" s="82"/>
      <c r="I14" s="94"/>
      <c r="J14" s="99"/>
      <c r="K14" s="100"/>
    </row>
    <row r="15" spans="1:11">
      <c r="A15" s="84"/>
      <c r="B15" s="83" t="s">
        <v>304</v>
      </c>
      <c r="C15" s="82"/>
      <c r="D15" s="82"/>
      <c r="E15" s="82"/>
      <c r="F15" s="82"/>
      <c r="G15" s="82"/>
      <c r="H15" s="82"/>
      <c r="I15" s="94"/>
      <c r="J15" s="99"/>
      <c r="K15" s="100"/>
    </row>
    <row r="16" spans="1:11">
      <c r="A16" s="87"/>
      <c r="B16" s="90" t="s">
        <v>304</v>
      </c>
      <c r="C16" s="91"/>
      <c r="D16" s="91"/>
      <c r="E16" s="91"/>
      <c r="F16" s="91"/>
      <c r="G16" s="91"/>
      <c r="H16" s="91"/>
      <c r="I16" s="95"/>
      <c r="J16" s="101"/>
      <c r="K16" s="102"/>
    </row>
    <row r="17" spans="1:11">
      <c r="A17" s="96" t="s">
        <v>63</v>
      </c>
      <c r="B17" s="86"/>
      <c r="C17" s="86"/>
      <c r="D17" s="86"/>
      <c r="E17" s="86"/>
      <c r="F17" s="86"/>
      <c r="G17" s="86"/>
      <c r="H17" s="86"/>
      <c r="I17" s="93"/>
      <c r="J17" s="97" t="s">
        <v>305</v>
      </c>
      <c r="K17" s="98">
        <v>1</v>
      </c>
    </row>
    <row r="18" spans="1:11">
      <c r="A18" s="84"/>
      <c r="B18" s="83" t="s">
        <v>306</v>
      </c>
      <c r="C18" s="82"/>
      <c r="D18" s="82"/>
      <c r="E18" s="82"/>
      <c r="F18" s="82"/>
      <c r="G18" s="82"/>
      <c r="H18" s="82"/>
      <c r="I18" s="94"/>
      <c r="J18" s="99"/>
      <c r="K18" s="100"/>
    </row>
    <row r="19" spans="1:11">
      <c r="A19" s="84"/>
      <c r="B19" s="83" t="s">
        <v>307</v>
      </c>
      <c r="C19" s="82"/>
      <c r="D19" s="82"/>
      <c r="E19" s="82"/>
      <c r="F19" s="82"/>
      <c r="G19" s="82"/>
      <c r="H19" s="82"/>
      <c r="I19" s="94"/>
      <c r="J19" s="99"/>
      <c r="K19" s="100"/>
    </row>
    <row r="20" spans="1:11">
      <c r="A20" s="84"/>
      <c r="B20" s="83" t="s">
        <v>308</v>
      </c>
      <c r="C20" s="82"/>
      <c r="D20" s="82"/>
      <c r="E20" s="82"/>
      <c r="F20" s="82"/>
      <c r="G20" s="82"/>
      <c r="H20" s="82"/>
      <c r="I20" s="94"/>
      <c r="J20" s="99"/>
      <c r="K20" s="100"/>
    </row>
    <row r="21" spans="1:11">
      <c r="A21" s="84"/>
      <c r="B21" s="83" t="s">
        <v>304</v>
      </c>
      <c r="C21" s="82"/>
      <c r="D21" s="82"/>
      <c r="E21" s="82"/>
      <c r="F21" s="82"/>
      <c r="G21" s="82"/>
      <c r="H21" s="82"/>
      <c r="I21" s="94"/>
      <c r="J21" s="99"/>
      <c r="K21" s="100"/>
    </row>
    <row r="22" spans="1:11">
      <c r="A22" s="87"/>
      <c r="B22" s="90" t="s">
        <v>304</v>
      </c>
      <c r="C22" s="91"/>
      <c r="D22" s="91"/>
      <c r="E22" s="91"/>
      <c r="F22" s="91"/>
      <c r="G22" s="91"/>
      <c r="H22" s="91"/>
      <c r="I22" s="95"/>
      <c r="J22" s="101"/>
      <c r="K22" s="102"/>
    </row>
    <row r="23" spans="1:11">
      <c r="A23" s="96" t="s">
        <v>64</v>
      </c>
      <c r="B23" s="86"/>
      <c r="C23" s="86"/>
      <c r="D23" s="86"/>
      <c r="E23" s="86"/>
      <c r="F23" s="86"/>
      <c r="G23" s="86"/>
      <c r="H23" s="86"/>
      <c r="I23" s="93"/>
      <c r="J23" s="97" t="s">
        <v>305</v>
      </c>
      <c r="K23" s="98">
        <v>1.25</v>
      </c>
    </row>
    <row r="24" spans="1:11">
      <c r="A24" s="84"/>
      <c r="B24" s="83" t="s">
        <v>309</v>
      </c>
      <c r="C24" s="82"/>
      <c r="D24" s="82"/>
      <c r="E24" s="82"/>
      <c r="F24" s="82"/>
      <c r="G24" s="82"/>
      <c r="H24" s="82"/>
      <c r="I24" s="94"/>
      <c r="J24" s="99"/>
      <c r="K24" s="100"/>
    </row>
    <row r="25" spans="1:11">
      <c r="A25" s="84"/>
      <c r="B25" s="83" t="s">
        <v>310</v>
      </c>
      <c r="C25" s="82"/>
      <c r="D25" s="82"/>
      <c r="E25" s="82"/>
      <c r="F25" s="82"/>
      <c r="G25" s="82"/>
      <c r="H25" s="82"/>
      <c r="I25" s="94"/>
      <c r="J25" s="99"/>
      <c r="K25" s="100"/>
    </row>
    <row r="26" spans="1:11">
      <c r="A26" s="84"/>
      <c r="B26" s="83" t="s">
        <v>311</v>
      </c>
      <c r="C26" s="82"/>
      <c r="D26" s="82"/>
      <c r="E26" s="82"/>
      <c r="F26" s="82"/>
      <c r="G26" s="82"/>
      <c r="H26" s="82"/>
      <c r="I26" s="94"/>
      <c r="J26" s="99"/>
      <c r="K26" s="100"/>
    </row>
    <row r="27" spans="1:11">
      <c r="A27" s="84"/>
      <c r="B27" s="83" t="s">
        <v>312</v>
      </c>
      <c r="C27" s="82"/>
      <c r="D27" s="82"/>
      <c r="E27" s="82"/>
      <c r="F27" s="82"/>
      <c r="G27" s="82"/>
      <c r="H27" s="82"/>
      <c r="I27" s="94"/>
      <c r="J27" s="99"/>
      <c r="K27" s="100"/>
    </row>
    <row r="28" spans="1:11">
      <c r="A28" s="87"/>
      <c r="B28" s="90" t="s">
        <v>304</v>
      </c>
      <c r="C28" s="91"/>
      <c r="D28" s="91"/>
      <c r="E28" s="91"/>
      <c r="F28" s="91"/>
      <c r="G28" s="91"/>
      <c r="H28" s="91"/>
      <c r="I28" s="95"/>
      <c r="J28" s="101"/>
      <c r="K28" s="102"/>
    </row>
    <row r="29" spans="1:11">
      <c r="A29" s="96" t="s">
        <v>65</v>
      </c>
      <c r="B29" s="86"/>
      <c r="C29" s="86"/>
      <c r="D29" s="86"/>
      <c r="E29" s="86"/>
      <c r="F29" s="86"/>
      <c r="G29" s="86"/>
      <c r="H29" s="86"/>
      <c r="I29" s="93"/>
      <c r="J29" s="97" t="s">
        <v>305</v>
      </c>
      <c r="K29" s="98">
        <v>1.5</v>
      </c>
    </row>
    <row r="30" spans="1:11">
      <c r="A30" s="84"/>
      <c r="B30" s="83" t="s">
        <v>313</v>
      </c>
      <c r="C30" s="82"/>
      <c r="D30" s="82"/>
      <c r="E30" s="82"/>
      <c r="F30" s="82"/>
      <c r="G30" s="82"/>
      <c r="H30" s="82"/>
      <c r="I30" s="94"/>
      <c r="J30" s="99"/>
      <c r="K30" s="100"/>
    </row>
    <row r="31" spans="1:11">
      <c r="A31" s="84"/>
      <c r="B31" s="83" t="s">
        <v>314</v>
      </c>
      <c r="C31" s="82"/>
      <c r="D31" s="82"/>
      <c r="E31" s="82"/>
      <c r="F31" s="82"/>
      <c r="G31" s="82"/>
      <c r="H31" s="82"/>
      <c r="I31" s="94"/>
      <c r="J31" s="99"/>
      <c r="K31" s="100"/>
    </row>
    <row r="32" spans="1:11">
      <c r="A32" s="84"/>
      <c r="B32" s="83" t="s">
        <v>304</v>
      </c>
      <c r="C32" s="82"/>
      <c r="D32" s="82"/>
      <c r="E32" s="82"/>
      <c r="F32" s="82"/>
      <c r="G32" s="82"/>
      <c r="H32" s="82"/>
      <c r="I32" s="94"/>
      <c r="J32" s="99"/>
      <c r="K32" s="100"/>
    </row>
    <row r="33" spans="1:11">
      <c r="A33" s="84"/>
      <c r="B33" s="83" t="s">
        <v>304</v>
      </c>
      <c r="C33" s="82"/>
      <c r="D33" s="82"/>
      <c r="E33" s="82"/>
      <c r="F33" s="82"/>
      <c r="G33" s="82"/>
      <c r="H33" s="82"/>
      <c r="I33" s="94"/>
      <c r="J33" s="99"/>
      <c r="K33" s="100"/>
    </row>
    <row r="34" spans="1:11">
      <c r="A34" s="87"/>
      <c r="B34" s="90" t="s">
        <v>304</v>
      </c>
      <c r="C34" s="91"/>
      <c r="D34" s="91"/>
      <c r="E34" s="91"/>
      <c r="F34" s="91"/>
      <c r="G34" s="91"/>
      <c r="H34" s="91"/>
      <c r="I34" s="95"/>
      <c r="J34" s="101"/>
      <c r="K34" s="102"/>
    </row>
    <row r="35" spans="1:11">
      <c r="A35" s="96" t="s">
        <v>66</v>
      </c>
      <c r="B35" s="86"/>
      <c r="C35" s="86"/>
      <c r="D35" s="86"/>
      <c r="E35" s="86"/>
      <c r="F35" s="86"/>
      <c r="G35" s="86"/>
      <c r="H35" s="86"/>
      <c r="I35" s="93"/>
      <c r="J35" s="97" t="s">
        <v>305</v>
      </c>
      <c r="K35" s="98">
        <v>1</v>
      </c>
    </row>
    <row r="36" spans="1:11">
      <c r="A36" s="84"/>
      <c r="B36" s="83" t="s">
        <v>315</v>
      </c>
      <c r="C36" s="82"/>
      <c r="D36" s="82"/>
      <c r="E36" s="82"/>
      <c r="F36" s="82"/>
      <c r="G36" s="82"/>
      <c r="H36" s="82"/>
      <c r="I36" s="94"/>
      <c r="J36" s="99"/>
      <c r="K36" s="100"/>
    </row>
    <row r="37" spans="1:11">
      <c r="A37" s="84"/>
      <c r="B37" s="83" t="s">
        <v>316</v>
      </c>
      <c r="C37" s="82"/>
      <c r="D37" s="82"/>
      <c r="E37" s="82"/>
      <c r="F37" s="82"/>
      <c r="G37" s="82"/>
      <c r="H37" s="82"/>
      <c r="I37" s="94"/>
      <c r="J37" s="99"/>
      <c r="K37" s="100"/>
    </row>
    <row r="38" spans="1:11">
      <c r="A38" s="84"/>
      <c r="B38" s="83" t="s">
        <v>317</v>
      </c>
      <c r="C38" s="82"/>
      <c r="D38" s="82"/>
      <c r="E38" s="82"/>
      <c r="F38" s="82"/>
      <c r="G38" s="82"/>
      <c r="H38" s="82"/>
      <c r="I38" s="94"/>
      <c r="J38" s="99"/>
      <c r="K38" s="100"/>
    </row>
    <row r="39" spans="1:11">
      <c r="A39" s="84"/>
      <c r="B39" s="83" t="s">
        <v>304</v>
      </c>
      <c r="C39" s="82"/>
      <c r="D39" s="82"/>
      <c r="E39" s="82"/>
      <c r="F39" s="82"/>
      <c r="G39" s="82"/>
      <c r="H39" s="82"/>
      <c r="I39" s="94"/>
      <c r="J39" s="99"/>
      <c r="K39" s="100"/>
    </row>
    <row r="40" spans="1:11">
      <c r="A40" s="87"/>
      <c r="B40" s="90" t="s">
        <v>304</v>
      </c>
      <c r="C40" s="91"/>
      <c r="D40" s="91"/>
      <c r="E40" s="91"/>
      <c r="F40" s="91"/>
      <c r="G40" s="91"/>
      <c r="H40" s="91"/>
      <c r="I40" s="95"/>
      <c r="J40" s="101"/>
      <c r="K40" s="102"/>
    </row>
    <row r="41" spans="1:11">
      <c r="A41" s="88" t="s">
        <v>318</v>
      </c>
      <c r="B41" s="89"/>
      <c r="C41" s="89"/>
      <c r="D41" s="89"/>
      <c r="E41" s="89"/>
      <c r="F41" s="89"/>
      <c r="G41" s="89"/>
      <c r="H41" s="89"/>
      <c r="I41" s="92"/>
      <c r="J41" s="105"/>
      <c r="K41" s="106"/>
    </row>
    <row r="42" spans="1:11">
      <c r="I42" s="129" t="s">
        <v>319</v>
      </c>
      <c r="J42" s="85"/>
      <c r="K42" s="93"/>
    </row>
    <row r="43" spans="1:11">
      <c r="I43" s="130"/>
      <c r="J43" s="87"/>
      <c r="K43" s="95"/>
    </row>
  </sheetData>
  <mergeCells count="12">
    <mergeCell ref="B9:C9"/>
    <mergeCell ref="I42:I43"/>
    <mergeCell ref="A1:K1"/>
    <mergeCell ref="A5:K5"/>
    <mergeCell ref="B6:K6"/>
    <mergeCell ref="B7:K7"/>
    <mergeCell ref="B8:K8"/>
    <mergeCell ref="A10:I10"/>
    <mergeCell ref="J9:K9"/>
    <mergeCell ref="H9:I9"/>
    <mergeCell ref="F9:G9"/>
    <mergeCell ref="D9:E9"/>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32546-1ADD-4C9D-90A5-84D63F4E4C30}">
  <dimension ref="A1:K38"/>
  <sheetViews>
    <sheetView topLeftCell="A27" workbookViewId="0">
      <selection activeCell="A43" sqref="A43"/>
    </sheetView>
  </sheetViews>
  <sheetFormatPr baseColWidth="10" defaultRowHeight="15.5"/>
  <cols>
    <col min="1" max="1" width="2.6328125" style="81" customWidth="1"/>
    <col min="2" max="11" width="9.6328125" style="81" customWidth="1"/>
    <col min="12" max="16384" width="10.90625" style="81"/>
  </cols>
  <sheetData>
    <row r="1" spans="1:11">
      <c r="A1" s="131" t="str">
        <f>CONCATENATE('Factor Sheet'!B2," ","- Victim ",'Factor Sheet'!A2)</f>
        <v>Non Swimmer - Victim 1</v>
      </c>
      <c r="B1" s="132"/>
      <c r="C1" s="132"/>
      <c r="D1" s="132"/>
      <c r="E1" s="132"/>
      <c r="F1" s="132"/>
      <c r="G1" s="132"/>
      <c r="H1" s="132"/>
      <c r="I1" s="132"/>
      <c r="J1" s="132"/>
      <c r="K1" s="132"/>
    </row>
    <row r="2" spans="1:11">
      <c r="A2" s="81" t="s">
        <v>325</v>
      </c>
    </row>
    <row r="3" spans="1:11">
      <c r="A3" s="107" t="s">
        <v>292</v>
      </c>
      <c r="E3" s="107" t="s">
        <v>293</v>
      </c>
    </row>
    <row r="4" spans="1:11">
      <c r="G4" s="107" t="s">
        <v>294</v>
      </c>
    </row>
    <row r="5" spans="1:11">
      <c r="A5" s="108" t="str">
        <f>CONCATENATE("Victim: ",'Factor Sheet'!B2)</f>
        <v>Victim: Non Swimmer</v>
      </c>
      <c r="B5" s="86"/>
      <c r="C5" s="86"/>
      <c r="D5" s="86"/>
      <c r="E5" s="86"/>
      <c r="F5" s="86"/>
      <c r="G5" s="86"/>
      <c r="H5" s="86"/>
      <c r="I5" s="86"/>
      <c r="J5" s="86"/>
      <c r="K5" s="93"/>
    </row>
    <row r="6" spans="1:11" ht="50" customHeight="1">
      <c r="A6" s="142" t="str">
        <f>VLOOKUP('Factor Sheet'!B2,'Drop Down Info'!A72:H79,2,FALSE)</f>
        <v>The victim is struggling to stay above the water and is starting to panic as they cannot get to safety. They are capable of taking a rescue aid if pushed into their reach (judge will give specifics based upon scenario description). However if a contact rescue is attempted, they will struggle and try to grab hold of the rescuer (they will not turn on their back). They need assistance to get out of the water and when out will be exhausted from the experience.</v>
      </c>
      <c r="B6" s="143"/>
      <c r="C6" s="143"/>
      <c r="D6" s="143"/>
      <c r="E6" s="143"/>
      <c r="F6" s="143"/>
      <c r="G6" s="143"/>
      <c r="H6" s="143"/>
      <c r="I6" s="143"/>
      <c r="J6" s="143"/>
      <c r="K6" s="144"/>
    </row>
    <row r="7" spans="1:11">
      <c r="A7" s="108" t="s">
        <v>326</v>
      </c>
      <c r="B7" s="86"/>
      <c r="C7" s="86"/>
      <c r="D7" s="86"/>
      <c r="E7" s="86"/>
      <c r="F7" s="86"/>
      <c r="G7" s="86"/>
      <c r="H7" s="86"/>
      <c r="I7" s="86"/>
      <c r="J7" s="86"/>
      <c r="K7" s="93"/>
    </row>
    <row r="8" spans="1:11" ht="70" customHeight="1">
      <c r="A8" s="142" t="str">
        <f>VLOOKUP('Factor Sheet'!B2,'Drop Down Info'!A72:H79,3,FALSE)</f>
        <v>Non-swimmer is in imminent danger and is a high priority for rescue. They will attempt to grab any rescuer who approaches them directly without an aid. If a contact rescue is used, low marks should be recorded for the rescue component. The victim should be made safe with an effective and efficient return to safety. Landing should be done with care. They will answer questions asked of them.</v>
      </c>
      <c r="B8" s="136"/>
      <c r="C8" s="136"/>
      <c r="D8" s="136"/>
      <c r="E8" s="136"/>
      <c r="F8" s="136"/>
      <c r="G8" s="136"/>
      <c r="H8" s="136"/>
      <c r="I8" s="136"/>
      <c r="J8" s="136"/>
      <c r="K8" s="137"/>
    </row>
    <row r="9" spans="1:11">
      <c r="B9" s="127" t="s">
        <v>320</v>
      </c>
      <c r="C9" s="128"/>
      <c r="D9" s="127" t="s">
        <v>321</v>
      </c>
      <c r="E9" s="128"/>
      <c r="F9" s="127" t="s">
        <v>322</v>
      </c>
      <c r="G9" s="128"/>
      <c r="H9" s="127" t="s">
        <v>323</v>
      </c>
      <c r="I9" s="128"/>
      <c r="J9" s="127" t="s">
        <v>324</v>
      </c>
      <c r="K9" s="128"/>
    </row>
    <row r="10" spans="1:11">
      <c r="A10" s="138" t="s">
        <v>299</v>
      </c>
      <c r="B10" s="139"/>
      <c r="C10" s="139"/>
      <c r="D10" s="139"/>
      <c r="E10" s="139"/>
      <c r="F10" s="139"/>
      <c r="G10" s="139"/>
      <c r="H10" s="139"/>
      <c r="I10" s="140"/>
      <c r="J10" s="103" t="s">
        <v>300</v>
      </c>
      <c r="K10" s="104"/>
    </row>
    <row r="11" spans="1:11">
      <c r="A11" s="96" t="s">
        <v>137</v>
      </c>
      <c r="B11" s="86"/>
      <c r="C11" s="86"/>
      <c r="D11" s="86"/>
      <c r="E11" s="86"/>
      <c r="F11" s="86"/>
      <c r="G11" s="86"/>
      <c r="H11" s="86"/>
      <c r="I11" s="93"/>
      <c r="J11" s="97" t="s">
        <v>305</v>
      </c>
      <c r="K11" s="98">
        <v>1.25</v>
      </c>
    </row>
    <row r="12" spans="1:11">
      <c r="A12" s="141" t="str">
        <f>VLOOKUP('Factor Sheet'!B2,'Drop Down Info'!A72:H79,4,FALSE)</f>
        <v>Recognition of non-swimmer (high priority), speed of reaching victim
Safe approach by rescuer</v>
      </c>
      <c r="B12" s="136"/>
      <c r="C12" s="136"/>
      <c r="D12" s="136"/>
      <c r="E12" s="136"/>
      <c r="F12" s="136"/>
      <c r="G12" s="136"/>
      <c r="H12" s="136"/>
      <c r="I12" s="137"/>
      <c r="J12" s="99"/>
      <c r="K12" s="100"/>
    </row>
    <row r="13" spans="1:11">
      <c r="A13" s="141"/>
      <c r="B13" s="136"/>
      <c r="C13" s="136"/>
      <c r="D13" s="136"/>
      <c r="E13" s="136"/>
      <c r="F13" s="136"/>
      <c r="G13" s="136"/>
      <c r="H13" s="136"/>
      <c r="I13" s="137"/>
      <c r="J13" s="99"/>
      <c r="K13" s="100"/>
    </row>
    <row r="14" spans="1:11">
      <c r="A14" s="141"/>
      <c r="B14" s="136"/>
      <c r="C14" s="136"/>
      <c r="D14" s="136"/>
      <c r="E14" s="136"/>
      <c r="F14" s="136"/>
      <c r="G14" s="136"/>
      <c r="H14" s="136"/>
      <c r="I14" s="137"/>
      <c r="J14" s="99"/>
      <c r="K14" s="100"/>
    </row>
    <row r="15" spans="1:11">
      <c r="A15" s="87"/>
      <c r="B15" s="91"/>
      <c r="C15" s="91"/>
      <c r="D15" s="91"/>
      <c r="E15" s="91"/>
      <c r="F15" s="91"/>
      <c r="G15" s="91"/>
      <c r="H15" s="91"/>
      <c r="I15" s="95"/>
      <c r="J15" s="101"/>
      <c r="K15" s="102"/>
    </row>
    <row r="16" spans="1:11">
      <c r="A16" s="96" t="s">
        <v>48</v>
      </c>
      <c r="B16" s="86"/>
      <c r="C16" s="86"/>
      <c r="D16" s="86"/>
      <c r="E16" s="86"/>
      <c r="F16" s="86"/>
      <c r="G16" s="86"/>
      <c r="H16" s="86"/>
      <c r="I16" s="93"/>
      <c r="J16" s="97" t="s">
        <v>305</v>
      </c>
      <c r="K16" s="98">
        <v>1.5</v>
      </c>
    </row>
    <row r="17" spans="1:11">
      <c r="A17" s="141" t="str">
        <f>VLOOKUP('Factor Sheet'!B2,'Drop Down Info'!A72:H79,5,FALSE)</f>
        <v>Rescue with extreme caution
(low marks for contact rescue if not required – maximum 5 marks for this section)
Monitor while still in water; may require further directions/instructions</v>
      </c>
      <c r="B17" s="136"/>
      <c r="C17" s="136"/>
      <c r="D17" s="136"/>
      <c r="E17" s="136"/>
      <c r="F17" s="136"/>
      <c r="G17" s="136"/>
      <c r="H17" s="136"/>
      <c r="I17" s="137"/>
      <c r="J17" s="99"/>
      <c r="K17" s="100"/>
    </row>
    <row r="18" spans="1:11">
      <c r="A18" s="141"/>
      <c r="B18" s="136"/>
      <c r="C18" s="136"/>
      <c r="D18" s="136"/>
      <c r="E18" s="136"/>
      <c r="F18" s="136"/>
      <c r="G18" s="136"/>
      <c r="H18" s="136"/>
      <c r="I18" s="137"/>
      <c r="J18" s="99"/>
      <c r="K18" s="100"/>
    </row>
    <row r="19" spans="1:11">
      <c r="A19" s="141"/>
      <c r="B19" s="136"/>
      <c r="C19" s="136"/>
      <c r="D19" s="136"/>
      <c r="E19" s="136"/>
      <c r="F19" s="136"/>
      <c r="G19" s="136"/>
      <c r="H19" s="136"/>
      <c r="I19" s="137"/>
      <c r="J19" s="99"/>
      <c r="K19" s="100"/>
    </row>
    <row r="20" spans="1:11">
      <c r="A20" s="87"/>
      <c r="B20" s="91"/>
      <c r="C20" s="91"/>
      <c r="D20" s="91"/>
      <c r="E20" s="91"/>
      <c r="F20" s="91"/>
      <c r="G20" s="91"/>
      <c r="H20" s="91"/>
      <c r="I20" s="95"/>
      <c r="J20" s="101"/>
      <c r="K20" s="102"/>
    </row>
    <row r="21" spans="1:11">
      <c r="A21" s="96" t="s">
        <v>327</v>
      </c>
      <c r="B21" s="86"/>
      <c r="C21" s="86"/>
      <c r="D21" s="86"/>
      <c r="E21" s="86"/>
      <c r="F21" s="86"/>
      <c r="G21" s="86"/>
      <c r="H21" s="86"/>
      <c r="I21" s="93"/>
      <c r="J21" s="97" t="s">
        <v>305</v>
      </c>
      <c r="K21" s="98">
        <v>1</v>
      </c>
    </row>
    <row r="22" spans="1:11">
      <c r="A22" s="141" t="str">
        <f>VLOOKUP('Factor Sheet'!B2,'Drop Down Info'!A72:H79,6,FALSE)</f>
        <v>Clear effective questioning and reassurance
Reassurance during rescue until returned to safety</v>
      </c>
      <c r="B22" s="136"/>
      <c r="C22" s="136"/>
      <c r="D22" s="136"/>
      <c r="E22" s="136"/>
      <c r="F22" s="136"/>
      <c r="G22" s="136"/>
      <c r="H22" s="136"/>
      <c r="I22" s="137"/>
      <c r="J22" s="99"/>
      <c r="K22" s="100"/>
    </row>
    <row r="23" spans="1:11">
      <c r="A23" s="141"/>
      <c r="B23" s="136"/>
      <c r="C23" s="136"/>
      <c r="D23" s="136"/>
      <c r="E23" s="136"/>
      <c r="F23" s="136"/>
      <c r="G23" s="136"/>
      <c r="H23" s="136"/>
      <c r="I23" s="137"/>
      <c r="J23" s="99"/>
      <c r="K23" s="100"/>
    </row>
    <row r="24" spans="1:11">
      <c r="A24" s="141"/>
      <c r="B24" s="136"/>
      <c r="C24" s="136"/>
      <c r="D24" s="136"/>
      <c r="E24" s="136"/>
      <c r="F24" s="136"/>
      <c r="G24" s="136"/>
      <c r="H24" s="136"/>
      <c r="I24" s="137"/>
      <c r="J24" s="99"/>
      <c r="K24" s="100"/>
    </row>
    <row r="25" spans="1:11">
      <c r="A25" s="87"/>
      <c r="B25" s="91"/>
      <c r="C25" s="91"/>
      <c r="D25" s="91"/>
      <c r="E25" s="91"/>
      <c r="F25" s="91"/>
      <c r="G25" s="91"/>
      <c r="H25" s="91"/>
      <c r="I25" s="95"/>
      <c r="J25" s="101"/>
      <c r="K25" s="102"/>
    </row>
    <row r="26" spans="1:11">
      <c r="A26" s="96" t="s">
        <v>50</v>
      </c>
      <c r="B26" s="86"/>
      <c r="C26" s="86"/>
      <c r="D26" s="86"/>
      <c r="E26" s="86"/>
      <c r="F26" s="86"/>
      <c r="G26" s="86"/>
      <c r="H26" s="86"/>
      <c r="I26" s="93"/>
      <c r="J26" s="97" t="s">
        <v>305</v>
      </c>
      <c r="K26" s="98">
        <v>1.25</v>
      </c>
    </row>
    <row r="27" spans="1:11">
      <c r="A27" s="141" t="str">
        <f>VLOOKUP('Factor Sheet'!B2,'Drop Down Info'!A72:H79,7,FALSE)</f>
        <v>Care of the victim; protection of the head
Appropriate landing for size and strength of rescuer</v>
      </c>
      <c r="B27" s="136"/>
      <c r="C27" s="136"/>
      <c r="D27" s="136"/>
      <c r="E27" s="136"/>
      <c r="F27" s="136"/>
      <c r="G27" s="136"/>
      <c r="H27" s="136"/>
      <c r="I27" s="137"/>
      <c r="J27" s="99"/>
      <c r="K27" s="100"/>
    </row>
    <row r="28" spans="1:11">
      <c r="A28" s="141"/>
      <c r="B28" s="136"/>
      <c r="C28" s="136"/>
      <c r="D28" s="136"/>
      <c r="E28" s="136"/>
      <c r="F28" s="136"/>
      <c r="G28" s="136"/>
      <c r="H28" s="136"/>
      <c r="I28" s="137"/>
      <c r="J28" s="99"/>
      <c r="K28" s="100"/>
    </row>
    <row r="29" spans="1:11">
      <c r="A29" s="141"/>
      <c r="B29" s="136"/>
      <c r="C29" s="136"/>
      <c r="D29" s="136"/>
      <c r="E29" s="136"/>
      <c r="F29" s="136"/>
      <c r="G29" s="136"/>
      <c r="H29" s="136"/>
      <c r="I29" s="137"/>
      <c r="J29" s="99"/>
      <c r="K29" s="100"/>
    </row>
    <row r="30" spans="1:11">
      <c r="A30" s="87"/>
      <c r="B30" s="91"/>
      <c r="C30" s="91"/>
      <c r="D30" s="91"/>
      <c r="E30" s="91"/>
      <c r="F30" s="91"/>
      <c r="G30" s="91"/>
      <c r="H30" s="91"/>
      <c r="I30" s="95"/>
      <c r="J30" s="101"/>
      <c r="K30" s="102"/>
    </row>
    <row r="31" spans="1:11">
      <c r="A31" s="96" t="s">
        <v>51</v>
      </c>
      <c r="B31" s="86"/>
      <c r="C31" s="86"/>
      <c r="D31" s="86"/>
      <c r="E31" s="86"/>
      <c r="F31" s="86"/>
      <c r="G31" s="86"/>
      <c r="H31" s="86"/>
      <c r="I31" s="93"/>
      <c r="J31" s="97" t="s">
        <v>305</v>
      </c>
      <c r="K31" s="98">
        <v>1.25</v>
      </c>
    </row>
    <row r="32" spans="1:11">
      <c r="A32" s="141" t="str">
        <f>VLOOKUP('Factor Sheet'!B2,'Drop Down Info'!A72:H79,8,FALSE)</f>
        <v>Safe position away from the edge; warmth and protection where possible; monitor safety; ongoing reassurance</v>
      </c>
      <c r="B32" s="136"/>
      <c r="C32" s="136"/>
      <c r="D32" s="136"/>
      <c r="E32" s="136"/>
      <c r="F32" s="136"/>
      <c r="G32" s="136"/>
      <c r="H32" s="136"/>
      <c r="I32" s="137"/>
      <c r="J32" s="99"/>
      <c r="K32" s="100"/>
    </row>
    <row r="33" spans="1:11">
      <c r="A33" s="141"/>
      <c r="B33" s="136"/>
      <c r="C33" s="136"/>
      <c r="D33" s="136"/>
      <c r="E33" s="136"/>
      <c r="F33" s="136"/>
      <c r="G33" s="136"/>
      <c r="H33" s="136"/>
      <c r="I33" s="137"/>
      <c r="J33" s="99"/>
      <c r="K33" s="100"/>
    </row>
    <row r="34" spans="1:11">
      <c r="A34" s="141"/>
      <c r="B34" s="136"/>
      <c r="C34" s="136"/>
      <c r="D34" s="136"/>
      <c r="E34" s="136"/>
      <c r="F34" s="136"/>
      <c r="G34" s="136"/>
      <c r="H34" s="136"/>
      <c r="I34" s="137"/>
      <c r="J34" s="99"/>
      <c r="K34" s="100"/>
    </row>
    <row r="35" spans="1:11">
      <c r="A35" s="87"/>
      <c r="B35" s="91"/>
      <c r="C35" s="91"/>
      <c r="D35" s="91"/>
      <c r="E35" s="91"/>
      <c r="F35" s="91"/>
      <c r="G35" s="91"/>
      <c r="H35" s="91"/>
      <c r="I35" s="95"/>
      <c r="J35" s="101"/>
      <c r="K35" s="102"/>
    </row>
    <row r="36" spans="1:11" ht="35" customHeight="1">
      <c r="A36" s="145" t="s">
        <v>318</v>
      </c>
      <c r="B36" s="146"/>
      <c r="C36" s="146"/>
      <c r="D36" s="146"/>
      <c r="E36" s="146"/>
      <c r="F36" s="146"/>
      <c r="G36" s="146"/>
      <c r="H36" s="146"/>
      <c r="I36" s="147"/>
      <c r="J36" s="105"/>
      <c r="K36" s="106"/>
    </row>
    <row r="37" spans="1:11">
      <c r="I37" s="129" t="s">
        <v>319</v>
      </c>
      <c r="J37" s="85"/>
      <c r="K37" s="93"/>
    </row>
    <row r="38" spans="1:11">
      <c r="I38" s="130"/>
      <c r="J38" s="87"/>
      <c r="K38" s="95"/>
    </row>
  </sheetData>
  <mergeCells count="16">
    <mergeCell ref="I37:I38"/>
    <mergeCell ref="A22:I24"/>
    <mergeCell ref="A27:I29"/>
    <mergeCell ref="A32:I34"/>
    <mergeCell ref="A36:I36"/>
    <mergeCell ref="A17:I19"/>
    <mergeCell ref="A1:K1"/>
    <mergeCell ref="A6:K6"/>
    <mergeCell ref="A8:K8"/>
    <mergeCell ref="A10:I10"/>
    <mergeCell ref="A12:I14"/>
    <mergeCell ref="J9:K9"/>
    <mergeCell ref="H9:I9"/>
    <mergeCell ref="F9:G9"/>
    <mergeCell ref="D9:E9"/>
    <mergeCell ref="B9:C9"/>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E6CC6-9C6D-4786-BD65-240D8805E8A8}">
  <dimension ref="A1:K38"/>
  <sheetViews>
    <sheetView topLeftCell="A27" workbookViewId="0">
      <selection activeCell="A43" sqref="A43"/>
    </sheetView>
  </sheetViews>
  <sheetFormatPr baseColWidth="10" defaultRowHeight="15.5"/>
  <cols>
    <col min="1" max="1" width="2.6328125" style="81" customWidth="1"/>
    <col min="2" max="11" width="9.6328125" style="81" customWidth="1"/>
    <col min="12" max="16384" width="10.90625" style="81"/>
  </cols>
  <sheetData>
    <row r="1" spans="1:11">
      <c r="A1" s="131" t="str">
        <f>CONCATENATE('Factor Sheet'!B3," ","- Victim ",'Factor Sheet'!A3)</f>
        <v>Non Swimmer - Victim 2</v>
      </c>
      <c r="B1" s="132"/>
      <c r="C1" s="132"/>
      <c r="D1" s="132"/>
      <c r="E1" s="132"/>
      <c r="F1" s="132"/>
      <c r="G1" s="132"/>
      <c r="H1" s="132"/>
      <c r="I1" s="132"/>
      <c r="J1" s="132"/>
      <c r="K1" s="132"/>
    </row>
    <row r="2" spans="1:11">
      <c r="A2" s="81" t="s">
        <v>325</v>
      </c>
    </row>
    <row r="3" spans="1:11">
      <c r="A3" s="107" t="s">
        <v>292</v>
      </c>
      <c r="E3" s="107" t="s">
        <v>293</v>
      </c>
    </row>
    <row r="4" spans="1:11">
      <c r="G4" s="107" t="s">
        <v>294</v>
      </c>
    </row>
    <row r="5" spans="1:11">
      <c r="A5" s="108" t="str">
        <f>CONCATENATE("Victim: ",'Factor Sheet'!B3)</f>
        <v>Victim: Non Swimmer</v>
      </c>
      <c r="B5" s="86"/>
      <c r="C5" s="86"/>
      <c r="D5" s="86"/>
      <c r="E5" s="86"/>
      <c r="F5" s="86"/>
      <c r="G5" s="86"/>
      <c r="H5" s="86"/>
      <c r="I5" s="86"/>
      <c r="J5" s="86"/>
      <c r="K5" s="93"/>
    </row>
    <row r="6" spans="1:11" ht="50" customHeight="1">
      <c r="A6" s="142" t="str">
        <f>VLOOKUP('Factor Sheet'!B3,'Drop Down Info'!A72:H79,2,FALSE)</f>
        <v>The victim is struggling to stay above the water and is starting to panic as they cannot get to safety. They are capable of taking a rescue aid if pushed into their reach (judge will give specifics based upon scenario description). However if a contact rescue is attempted, they will struggle and try to grab hold of the rescuer (they will not turn on their back). They need assistance to get out of the water and when out will be exhausted from the experience.</v>
      </c>
      <c r="B6" s="143"/>
      <c r="C6" s="143"/>
      <c r="D6" s="143"/>
      <c r="E6" s="143"/>
      <c r="F6" s="143"/>
      <c r="G6" s="143"/>
      <c r="H6" s="143"/>
      <c r="I6" s="143"/>
      <c r="J6" s="143"/>
      <c r="K6" s="144"/>
    </row>
    <row r="7" spans="1:11">
      <c r="A7" s="108" t="s">
        <v>326</v>
      </c>
      <c r="B7" s="86"/>
      <c r="C7" s="86"/>
      <c r="D7" s="86"/>
      <c r="E7" s="86"/>
      <c r="F7" s="86"/>
      <c r="G7" s="86"/>
      <c r="H7" s="86"/>
      <c r="I7" s="86"/>
      <c r="J7" s="86"/>
      <c r="K7" s="93"/>
    </row>
    <row r="8" spans="1:11" ht="70" customHeight="1">
      <c r="A8" s="142" t="str">
        <f>VLOOKUP('Factor Sheet'!B3,'Drop Down Info'!A72:H79,3,FALSE)</f>
        <v>Non-swimmer is in imminent danger and is a high priority for rescue. They will attempt to grab any rescuer who approaches them directly without an aid. If a contact rescue is used, low marks should be recorded for the rescue component. The victim should be made safe with an effective and efficient return to safety. Landing should be done with care. They will answer questions asked of them.</v>
      </c>
      <c r="B8" s="136"/>
      <c r="C8" s="136"/>
      <c r="D8" s="136"/>
      <c r="E8" s="136"/>
      <c r="F8" s="136"/>
      <c r="G8" s="136"/>
      <c r="H8" s="136"/>
      <c r="I8" s="136"/>
      <c r="J8" s="136"/>
      <c r="K8" s="137"/>
    </row>
    <row r="9" spans="1:11">
      <c r="B9" s="127" t="s">
        <v>320</v>
      </c>
      <c r="C9" s="128"/>
      <c r="D9" s="127" t="s">
        <v>321</v>
      </c>
      <c r="E9" s="128"/>
      <c r="F9" s="127" t="s">
        <v>322</v>
      </c>
      <c r="G9" s="128"/>
      <c r="H9" s="127" t="s">
        <v>323</v>
      </c>
      <c r="I9" s="128"/>
      <c r="J9" s="127" t="s">
        <v>324</v>
      </c>
      <c r="K9" s="128"/>
    </row>
    <row r="10" spans="1:11">
      <c r="A10" s="138" t="s">
        <v>299</v>
      </c>
      <c r="B10" s="139"/>
      <c r="C10" s="139"/>
      <c r="D10" s="139"/>
      <c r="E10" s="139"/>
      <c r="F10" s="139"/>
      <c r="G10" s="139"/>
      <c r="H10" s="139"/>
      <c r="I10" s="140"/>
      <c r="J10" s="103" t="s">
        <v>300</v>
      </c>
      <c r="K10" s="104"/>
    </row>
    <row r="11" spans="1:11">
      <c r="A11" s="96" t="s">
        <v>137</v>
      </c>
      <c r="B11" s="86"/>
      <c r="C11" s="86"/>
      <c r="D11" s="86"/>
      <c r="E11" s="86"/>
      <c r="F11" s="86"/>
      <c r="G11" s="86"/>
      <c r="H11" s="86"/>
      <c r="I11" s="93"/>
      <c r="J11" s="97" t="s">
        <v>305</v>
      </c>
      <c r="K11" s="98">
        <v>1.25</v>
      </c>
    </row>
    <row r="12" spans="1:11">
      <c r="A12" s="141" t="str">
        <f>VLOOKUP('Factor Sheet'!B3,'Drop Down Info'!A72:H79,4,FALSE)</f>
        <v>Recognition of non-swimmer (high priority), speed of reaching victim
Safe approach by rescuer</v>
      </c>
      <c r="B12" s="136"/>
      <c r="C12" s="136"/>
      <c r="D12" s="136"/>
      <c r="E12" s="136"/>
      <c r="F12" s="136"/>
      <c r="G12" s="136"/>
      <c r="H12" s="136"/>
      <c r="I12" s="137"/>
      <c r="J12" s="99"/>
      <c r="K12" s="100"/>
    </row>
    <row r="13" spans="1:11">
      <c r="A13" s="141"/>
      <c r="B13" s="136"/>
      <c r="C13" s="136"/>
      <c r="D13" s="136"/>
      <c r="E13" s="136"/>
      <c r="F13" s="136"/>
      <c r="G13" s="136"/>
      <c r="H13" s="136"/>
      <c r="I13" s="137"/>
      <c r="J13" s="99"/>
      <c r="K13" s="100"/>
    </row>
    <row r="14" spans="1:11">
      <c r="A14" s="141"/>
      <c r="B14" s="136"/>
      <c r="C14" s="136"/>
      <c r="D14" s="136"/>
      <c r="E14" s="136"/>
      <c r="F14" s="136"/>
      <c r="G14" s="136"/>
      <c r="H14" s="136"/>
      <c r="I14" s="137"/>
      <c r="J14" s="99"/>
      <c r="K14" s="100"/>
    </row>
    <row r="15" spans="1:11">
      <c r="A15" s="87"/>
      <c r="B15" s="91"/>
      <c r="C15" s="91"/>
      <c r="D15" s="91"/>
      <c r="E15" s="91"/>
      <c r="F15" s="91"/>
      <c r="G15" s="91"/>
      <c r="H15" s="91"/>
      <c r="I15" s="95"/>
      <c r="J15" s="101"/>
      <c r="K15" s="102"/>
    </row>
    <row r="16" spans="1:11">
      <c r="A16" s="96" t="s">
        <v>48</v>
      </c>
      <c r="B16" s="86"/>
      <c r="C16" s="86"/>
      <c r="D16" s="86"/>
      <c r="E16" s="86"/>
      <c r="F16" s="86"/>
      <c r="G16" s="86"/>
      <c r="H16" s="86"/>
      <c r="I16" s="93"/>
      <c r="J16" s="97" t="s">
        <v>305</v>
      </c>
      <c r="K16" s="98">
        <v>1.25</v>
      </c>
    </row>
    <row r="17" spans="1:11">
      <c r="A17" s="141" t="str">
        <f>VLOOKUP('Factor Sheet'!B3,'Drop Down Info'!A72:H79,5,FALSE)</f>
        <v>Rescue with extreme caution
(low marks for contact rescue if not required – maximum 5 marks for this section)
Monitor while still in water; may require further directions/instructions</v>
      </c>
      <c r="B17" s="136"/>
      <c r="C17" s="136"/>
      <c r="D17" s="136"/>
      <c r="E17" s="136"/>
      <c r="F17" s="136"/>
      <c r="G17" s="136"/>
      <c r="H17" s="136"/>
      <c r="I17" s="137"/>
      <c r="J17" s="99"/>
      <c r="K17" s="100"/>
    </row>
    <row r="18" spans="1:11">
      <c r="A18" s="141"/>
      <c r="B18" s="136"/>
      <c r="C18" s="136"/>
      <c r="D18" s="136"/>
      <c r="E18" s="136"/>
      <c r="F18" s="136"/>
      <c r="G18" s="136"/>
      <c r="H18" s="136"/>
      <c r="I18" s="137"/>
      <c r="J18" s="99"/>
      <c r="K18" s="100"/>
    </row>
    <row r="19" spans="1:11">
      <c r="A19" s="141"/>
      <c r="B19" s="136"/>
      <c r="C19" s="136"/>
      <c r="D19" s="136"/>
      <c r="E19" s="136"/>
      <c r="F19" s="136"/>
      <c r="G19" s="136"/>
      <c r="H19" s="136"/>
      <c r="I19" s="137"/>
      <c r="J19" s="99"/>
      <c r="K19" s="100"/>
    </row>
    <row r="20" spans="1:11">
      <c r="A20" s="87"/>
      <c r="B20" s="91"/>
      <c r="C20" s="91"/>
      <c r="D20" s="91"/>
      <c r="E20" s="91"/>
      <c r="F20" s="91"/>
      <c r="G20" s="91"/>
      <c r="H20" s="91"/>
      <c r="I20" s="95"/>
      <c r="J20" s="101"/>
      <c r="K20" s="102"/>
    </row>
    <row r="21" spans="1:11">
      <c r="A21" s="96" t="s">
        <v>327</v>
      </c>
      <c r="B21" s="86"/>
      <c r="C21" s="86"/>
      <c r="D21" s="86"/>
      <c r="E21" s="86"/>
      <c r="F21" s="86"/>
      <c r="G21" s="86"/>
      <c r="H21" s="86"/>
      <c r="I21" s="93"/>
      <c r="J21" s="97" t="s">
        <v>305</v>
      </c>
      <c r="K21" s="98">
        <v>1</v>
      </c>
    </row>
    <row r="22" spans="1:11">
      <c r="A22" s="141" t="str">
        <f>VLOOKUP('Factor Sheet'!B3,'Drop Down Info'!A72:H79,6,FALSE)</f>
        <v>Clear effective questioning and reassurance
Reassurance during rescue until returned to safety</v>
      </c>
      <c r="B22" s="136"/>
      <c r="C22" s="136"/>
      <c r="D22" s="136"/>
      <c r="E22" s="136"/>
      <c r="F22" s="136"/>
      <c r="G22" s="136"/>
      <c r="H22" s="136"/>
      <c r="I22" s="137"/>
      <c r="J22" s="99"/>
      <c r="K22" s="100"/>
    </row>
    <row r="23" spans="1:11">
      <c r="A23" s="141"/>
      <c r="B23" s="136"/>
      <c r="C23" s="136"/>
      <c r="D23" s="136"/>
      <c r="E23" s="136"/>
      <c r="F23" s="136"/>
      <c r="G23" s="136"/>
      <c r="H23" s="136"/>
      <c r="I23" s="137"/>
      <c r="J23" s="99"/>
      <c r="K23" s="100"/>
    </row>
    <row r="24" spans="1:11">
      <c r="A24" s="141"/>
      <c r="B24" s="136"/>
      <c r="C24" s="136"/>
      <c r="D24" s="136"/>
      <c r="E24" s="136"/>
      <c r="F24" s="136"/>
      <c r="G24" s="136"/>
      <c r="H24" s="136"/>
      <c r="I24" s="137"/>
      <c r="J24" s="99"/>
      <c r="K24" s="100"/>
    </row>
    <row r="25" spans="1:11">
      <c r="A25" s="87"/>
      <c r="B25" s="91"/>
      <c r="C25" s="91"/>
      <c r="D25" s="91"/>
      <c r="E25" s="91"/>
      <c r="F25" s="91"/>
      <c r="G25" s="91"/>
      <c r="H25" s="91"/>
      <c r="I25" s="95"/>
      <c r="J25" s="101"/>
      <c r="K25" s="102"/>
    </row>
    <row r="26" spans="1:11">
      <c r="A26" s="96" t="s">
        <v>50</v>
      </c>
      <c r="B26" s="86"/>
      <c r="C26" s="86"/>
      <c r="D26" s="86"/>
      <c r="E26" s="86"/>
      <c r="F26" s="86"/>
      <c r="G26" s="86"/>
      <c r="H26" s="86"/>
      <c r="I26" s="93"/>
      <c r="J26" s="97" t="s">
        <v>305</v>
      </c>
      <c r="K26" s="98">
        <v>1.25</v>
      </c>
    </row>
    <row r="27" spans="1:11">
      <c r="A27" s="141" t="str">
        <f>VLOOKUP('Factor Sheet'!B3,'Drop Down Info'!A72:H79,7,FALSE)</f>
        <v>Care of the victim; protection of the head
Appropriate landing for size and strength of rescuer</v>
      </c>
      <c r="B27" s="136"/>
      <c r="C27" s="136"/>
      <c r="D27" s="136"/>
      <c r="E27" s="136"/>
      <c r="F27" s="136"/>
      <c r="G27" s="136"/>
      <c r="H27" s="136"/>
      <c r="I27" s="137"/>
      <c r="J27" s="99"/>
      <c r="K27" s="100"/>
    </row>
    <row r="28" spans="1:11">
      <c r="A28" s="141"/>
      <c r="B28" s="136"/>
      <c r="C28" s="136"/>
      <c r="D28" s="136"/>
      <c r="E28" s="136"/>
      <c r="F28" s="136"/>
      <c r="G28" s="136"/>
      <c r="H28" s="136"/>
      <c r="I28" s="137"/>
      <c r="J28" s="99"/>
      <c r="K28" s="100"/>
    </row>
    <row r="29" spans="1:11">
      <c r="A29" s="141"/>
      <c r="B29" s="136"/>
      <c r="C29" s="136"/>
      <c r="D29" s="136"/>
      <c r="E29" s="136"/>
      <c r="F29" s="136"/>
      <c r="G29" s="136"/>
      <c r="H29" s="136"/>
      <c r="I29" s="137"/>
      <c r="J29" s="99"/>
      <c r="K29" s="100"/>
    </row>
    <row r="30" spans="1:11">
      <c r="A30" s="87"/>
      <c r="B30" s="91"/>
      <c r="C30" s="91"/>
      <c r="D30" s="91"/>
      <c r="E30" s="91"/>
      <c r="F30" s="91"/>
      <c r="G30" s="91"/>
      <c r="H30" s="91"/>
      <c r="I30" s="95"/>
      <c r="J30" s="101"/>
      <c r="K30" s="102"/>
    </row>
    <row r="31" spans="1:11">
      <c r="A31" s="96" t="s">
        <v>51</v>
      </c>
      <c r="B31" s="86"/>
      <c r="C31" s="86"/>
      <c r="D31" s="86"/>
      <c r="E31" s="86"/>
      <c r="F31" s="86"/>
      <c r="G31" s="86"/>
      <c r="H31" s="86"/>
      <c r="I31" s="93"/>
      <c r="J31" s="97" t="s">
        <v>305</v>
      </c>
      <c r="K31" s="98">
        <v>1.25</v>
      </c>
    </row>
    <row r="32" spans="1:11">
      <c r="A32" s="141" t="str">
        <f>VLOOKUP('Factor Sheet'!B3,'Drop Down Info'!A72:H79,8,FALSE)</f>
        <v>Safe position away from the edge; warmth and protection where possible; monitor safety; ongoing reassurance</v>
      </c>
      <c r="B32" s="136"/>
      <c r="C32" s="136"/>
      <c r="D32" s="136"/>
      <c r="E32" s="136"/>
      <c r="F32" s="136"/>
      <c r="G32" s="136"/>
      <c r="H32" s="136"/>
      <c r="I32" s="137"/>
      <c r="J32" s="99"/>
      <c r="K32" s="100"/>
    </row>
    <row r="33" spans="1:11">
      <c r="A33" s="141"/>
      <c r="B33" s="136"/>
      <c r="C33" s="136"/>
      <c r="D33" s="136"/>
      <c r="E33" s="136"/>
      <c r="F33" s="136"/>
      <c r="G33" s="136"/>
      <c r="H33" s="136"/>
      <c r="I33" s="137"/>
      <c r="J33" s="99"/>
      <c r="K33" s="100"/>
    </row>
    <row r="34" spans="1:11">
      <c r="A34" s="141"/>
      <c r="B34" s="136"/>
      <c r="C34" s="136"/>
      <c r="D34" s="136"/>
      <c r="E34" s="136"/>
      <c r="F34" s="136"/>
      <c r="G34" s="136"/>
      <c r="H34" s="136"/>
      <c r="I34" s="137"/>
      <c r="J34" s="99"/>
      <c r="K34" s="100"/>
    </row>
    <row r="35" spans="1:11">
      <c r="A35" s="87"/>
      <c r="B35" s="91"/>
      <c r="C35" s="91"/>
      <c r="D35" s="91"/>
      <c r="E35" s="91"/>
      <c r="F35" s="91"/>
      <c r="G35" s="91"/>
      <c r="H35" s="91"/>
      <c r="I35" s="95"/>
      <c r="J35" s="101"/>
      <c r="K35" s="102"/>
    </row>
    <row r="36" spans="1:11" ht="35" customHeight="1">
      <c r="A36" s="145" t="s">
        <v>318</v>
      </c>
      <c r="B36" s="146"/>
      <c r="C36" s="146"/>
      <c r="D36" s="146"/>
      <c r="E36" s="146"/>
      <c r="F36" s="146"/>
      <c r="G36" s="146"/>
      <c r="H36" s="146"/>
      <c r="I36" s="147"/>
      <c r="J36" s="105"/>
      <c r="K36" s="106"/>
    </row>
    <row r="37" spans="1:11">
      <c r="I37" s="129" t="s">
        <v>319</v>
      </c>
      <c r="J37" s="85"/>
      <c r="K37" s="93"/>
    </row>
    <row r="38" spans="1:11">
      <c r="I38" s="130"/>
      <c r="J38" s="87"/>
      <c r="K38" s="95"/>
    </row>
  </sheetData>
  <mergeCells count="16">
    <mergeCell ref="I37:I38"/>
    <mergeCell ref="A22:I24"/>
    <mergeCell ref="A27:I29"/>
    <mergeCell ref="A32:I34"/>
    <mergeCell ref="A36:I36"/>
    <mergeCell ref="A17:I19"/>
    <mergeCell ref="A1:K1"/>
    <mergeCell ref="A6:K6"/>
    <mergeCell ref="A8:K8"/>
    <mergeCell ref="A10:I10"/>
    <mergeCell ref="A12:I14"/>
    <mergeCell ref="J9:K9"/>
    <mergeCell ref="H9:I9"/>
    <mergeCell ref="F9:G9"/>
    <mergeCell ref="D9:E9"/>
    <mergeCell ref="B9:C9"/>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19ED4-1F3E-41DE-92A0-80072F01FA2A}">
  <dimension ref="A1:K38"/>
  <sheetViews>
    <sheetView topLeftCell="A27" workbookViewId="0">
      <selection activeCell="A43" sqref="A43"/>
    </sheetView>
  </sheetViews>
  <sheetFormatPr baseColWidth="10" defaultRowHeight="15.5"/>
  <cols>
    <col min="1" max="1" width="2.6328125" style="81" customWidth="1"/>
    <col min="2" max="11" width="9.6328125" style="81" customWidth="1"/>
    <col min="12" max="16384" width="10.90625" style="81"/>
  </cols>
  <sheetData>
    <row r="1" spans="1:11">
      <c r="A1" s="131" t="str">
        <f>CONCATENATE('Factor Sheet'!B4," ","- Victim ",'Factor Sheet'!A4)</f>
        <v>Weak Swimmer - Victim 3</v>
      </c>
      <c r="B1" s="132"/>
      <c r="C1" s="132"/>
      <c r="D1" s="132"/>
      <c r="E1" s="132"/>
      <c r="F1" s="132"/>
      <c r="G1" s="132"/>
      <c r="H1" s="132"/>
      <c r="I1" s="132"/>
      <c r="J1" s="132"/>
      <c r="K1" s="132"/>
    </row>
    <row r="2" spans="1:11">
      <c r="A2" s="81" t="s">
        <v>325</v>
      </c>
    </row>
    <row r="3" spans="1:11">
      <c r="A3" s="107" t="s">
        <v>292</v>
      </c>
      <c r="E3" s="107" t="s">
        <v>293</v>
      </c>
    </row>
    <row r="4" spans="1:11">
      <c r="G4" s="107" t="s">
        <v>294</v>
      </c>
    </row>
    <row r="5" spans="1:11">
      <c r="A5" s="108" t="str">
        <f>CONCATENATE("Victim: ",'Factor Sheet'!B4)</f>
        <v>Victim: Weak Swimmer</v>
      </c>
      <c r="B5" s="86"/>
      <c r="C5" s="86"/>
      <c r="D5" s="86"/>
      <c r="E5" s="86"/>
      <c r="F5" s="86"/>
      <c r="G5" s="86"/>
      <c r="H5" s="86"/>
      <c r="I5" s="86"/>
      <c r="J5" s="86"/>
      <c r="K5" s="93"/>
    </row>
    <row r="6" spans="1:11" ht="50" customHeight="1">
      <c r="A6" s="142" t="str">
        <f>VLOOKUP('Factor Sheet'!B4,'Drop Down Info'!A72:H79,2,FALSE)</f>
        <v>The victim is a weak swimmer struggling to get back to safety. They will be capable of shouting or calling out for help. They will be able to take an aid to get to safety. If a contact carry is performed they will struggle and resist. They will be able to land themselves. They will provide assistance or contact emergency services and will cooperative throughout.</v>
      </c>
      <c r="B6" s="143"/>
      <c r="C6" s="143"/>
      <c r="D6" s="143"/>
      <c r="E6" s="143"/>
      <c r="F6" s="143"/>
      <c r="G6" s="143"/>
      <c r="H6" s="143"/>
      <c r="I6" s="143"/>
      <c r="J6" s="143"/>
      <c r="K6" s="144"/>
    </row>
    <row r="7" spans="1:11">
      <c r="A7" s="108" t="s">
        <v>326</v>
      </c>
      <c r="B7" s="86"/>
      <c r="C7" s="86"/>
      <c r="D7" s="86"/>
      <c r="E7" s="86"/>
      <c r="F7" s="86"/>
      <c r="G7" s="86"/>
      <c r="H7" s="86"/>
      <c r="I7" s="86"/>
      <c r="J7" s="86"/>
      <c r="K7" s="93"/>
    </row>
    <row r="8" spans="1:11" ht="70" customHeight="1">
      <c r="A8" s="142" t="str">
        <f>VLOOKUP('Factor Sheet'!B4,'Drop Down Info'!A72:H79,3,FALSE)</f>
        <v>Weak swimmers need to be made safe very quickly. The victim can be talked at or given signs to return to safety; they will need to be kept monitored. They will struggle if a contact rescue is used; low marks should be awarded for contact rescue</v>
      </c>
      <c r="B8" s="136"/>
      <c r="C8" s="136"/>
      <c r="D8" s="136"/>
      <c r="E8" s="136"/>
      <c r="F8" s="136"/>
      <c r="G8" s="136"/>
      <c r="H8" s="136"/>
      <c r="I8" s="136"/>
      <c r="J8" s="136"/>
      <c r="K8" s="137"/>
    </row>
    <row r="9" spans="1:11">
      <c r="B9" s="127" t="s">
        <v>320</v>
      </c>
      <c r="C9" s="128"/>
      <c r="D9" s="127" t="s">
        <v>321</v>
      </c>
      <c r="E9" s="128"/>
      <c r="F9" s="127" t="s">
        <v>322</v>
      </c>
      <c r="G9" s="128"/>
      <c r="H9" s="127" t="s">
        <v>323</v>
      </c>
      <c r="I9" s="128"/>
      <c r="J9" s="127" t="s">
        <v>324</v>
      </c>
      <c r="K9" s="128"/>
    </row>
    <row r="10" spans="1:11">
      <c r="A10" s="138" t="s">
        <v>299</v>
      </c>
      <c r="B10" s="139"/>
      <c r="C10" s="139"/>
      <c r="D10" s="139"/>
      <c r="E10" s="139"/>
      <c r="F10" s="139"/>
      <c r="G10" s="139"/>
      <c r="H10" s="139"/>
      <c r="I10" s="140"/>
      <c r="J10" s="103" t="s">
        <v>300</v>
      </c>
      <c r="K10" s="104"/>
    </row>
    <row r="11" spans="1:11">
      <c r="A11" s="96" t="s">
        <v>137</v>
      </c>
      <c r="B11" s="86"/>
      <c r="C11" s="86"/>
      <c r="D11" s="86"/>
      <c r="E11" s="86"/>
      <c r="F11" s="86"/>
      <c r="G11" s="86"/>
      <c r="H11" s="86"/>
      <c r="I11" s="93"/>
      <c r="J11" s="97" t="s">
        <v>305</v>
      </c>
      <c r="K11" s="98">
        <v>1.25</v>
      </c>
    </row>
    <row r="12" spans="1:11">
      <c r="A12" s="141" t="str">
        <f>VLOOKUP('Factor Sheet'!B4,'Drop Down Info'!A72:H79,4,FALSE)</f>
        <v xml:space="preserve">Recognition that they are a weak swimmer and high priority to mobilize. 
Safe approach by rescuer
</v>
      </c>
      <c r="B12" s="136"/>
      <c r="C12" s="136"/>
      <c r="D12" s="136"/>
      <c r="E12" s="136"/>
      <c r="F12" s="136"/>
      <c r="G12" s="136"/>
      <c r="H12" s="136"/>
      <c r="I12" s="137"/>
      <c r="J12" s="99"/>
      <c r="K12" s="100"/>
    </row>
    <row r="13" spans="1:11">
      <c r="A13" s="141"/>
      <c r="B13" s="136"/>
      <c r="C13" s="136"/>
      <c r="D13" s="136"/>
      <c r="E13" s="136"/>
      <c r="F13" s="136"/>
      <c r="G13" s="136"/>
      <c r="H13" s="136"/>
      <c r="I13" s="137"/>
      <c r="J13" s="99"/>
      <c r="K13" s="100"/>
    </row>
    <row r="14" spans="1:11">
      <c r="A14" s="141"/>
      <c r="B14" s="136"/>
      <c r="C14" s="136"/>
      <c r="D14" s="136"/>
      <c r="E14" s="136"/>
      <c r="F14" s="136"/>
      <c r="G14" s="136"/>
      <c r="H14" s="136"/>
      <c r="I14" s="137"/>
      <c r="J14" s="99"/>
      <c r="K14" s="100"/>
    </row>
    <row r="15" spans="1:11">
      <c r="A15" s="87"/>
      <c r="B15" s="91"/>
      <c r="C15" s="91"/>
      <c r="D15" s="91"/>
      <c r="E15" s="91"/>
      <c r="F15" s="91"/>
      <c r="G15" s="91"/>
      <c r="H15" s="91"/>
      <c r="I15" s="95"/>
      <c r="J15" s="101"/>
      <c r="K15" s="102"/>
    </row>
    <row r="16" spans="1:11">
      <c r="A16" s="96" t="s">
        <v>48</v>
      </c>
      <c r="B16" s="86"/>
      <c r="C16" s="86"/>
      <c r="D16" s="86"/>
      <c r="E16" s="86"/>
      <c r="F16" s="86"/>
      <c r="G16" s="86"/>
      <c r="H16" s="86"/>
      <c r="I16" s="93"/>
      <c r="J16" s="97" t="s">
        <v>305</v>
      </c>
      <c r="K16" s="98">
        <v>1.25</v>
      </c>
    </row>
    <row r="17" spans="1:11">
      <c r="A17" s="141" t="str">
        <f>VLOOKUP('Factor Sheet'!B4,'Drop Down Info'!A72:H79,5,FALSE)</f>
        <v>Encourage return to safety with clear directions; perform a non-contact rescue (low marks for contact rescue if not required – maximum 5 marks for this section)
Monitor while still in water; may require further directions/instructions</v>
      </c>
      <c r="B17" s="136"/>
      <c r="C17" s="136"/>
      <c r="D17" s="136"/>
      <c r="E17" s="136"/>
      <c r="F17" s="136"/>
      <c r="G17" s="136"/>
      <c r="H17" s="136"/>
      <c r="I17" s="137"/>
      <c r="J17" s="99"/>
      <c r="K17" s="100"/>
    </row>
    <row r="18" spans="1:11">
      <c r="A18" s="141"/>
      <c r="B18" s="136"/>
      <c r="C18" s="136"/>
      <c r="D18" s="136"/>
      <c r="E18" s="136"/>
      <c r="F18" s="136"/>
      <c r="G18" s="136"/>
      <c r="H18" s="136"/>
      <c r="I18" s="137"/>
      <c r="J18" s="99"/>
      <c r="K18" s="100"/>
    </row>
    <row r="19" spans="1:11">
      <c r="A19" s="141"/>
      <c r="B19" s="136"/>
      <c r="C19" s="136"/>
      <c r="D19" s="136"/>
      <c r="E19" s="136"/>
      <c r="F19" s="136"/>
      <c r="G19" s="136"/>
      <c r="H19" s="136"/>
      <c r="I19" s="137"/>
      <c r="J19" s="99"/>
      <c r="K19" s="100"/>
    </row>
    <row r="20" spans="1:11">
      <c r="A20" s="87"/>
      <c r="B20" s="91"/>
      <c r="C20" s="91"/>
      <c r="D20" s="91"/>
      <c r="E20" s="91"/>
      <c r="F20" s="91"/>
      <c r="G20" s="91"/>
      <c r="H20" s="91"/>
      <c r="I20" s="95"/>
      <c r="J20" s="101"/>
      <c r="K20" s="102"/>
    </row>
    <row r="21" spans="1:11">
      <c r="A21" s="96" t="s">
        <v>327</v>
      </c>
      <c r="B21" s="86"/>
      <c r="C21" s="86"/>
      <c r="D21" s="86"/>
      <c r="E21" s="86"/>
      <c r="F21" s="86"/>
      <c r="G21" s="86"/>
      <c r="H21" s="86"/>
      <c r="I21" s="93"/>
      <c r="J21" s="97" t="s">
        <v>305</v>
      </c>
      <c r="K21" s="98">
        <v>1.25</v>
      </c>
    </row>
    <row r="22" spans="1:11">
      <c r="A22" s="141" t="str">
        <f>VLOOKUP('Factor Sheet'!B4,'Drop Down Info'!A72:H79,6,FALSE)</f>
        <v>Effective communication / instruction; use for keeping another victim warm / safe</v>
      </c>
      <c r="B22" s="136"/>
      <c r="C22" s="136"/>
      <c r="D22" s="136"/>
      <c r="E22" s="136"/>
      <c r="F22" s="136"/>
      <c r="G22" s="136"/>
      <c r="H22" s="136"/>
      <c r="I22" s="137"/>
      <c r="J22" s="99"/>
      <c r="K22" s="100"/>
    </row>
    <row r="23" spans="1:11">
      <c r="A23" s="141"/>
      <c r="B23" s="136"/>
      <c r="C23" s="136"/>
      <c r="D23" s="136"/>
      <c r="E23" s="136"/>
      <c r="F23" s="136"/>
      <c r="G23" s="136"/>
      <c r="H23" s="136"/>
      <c r="I23" s="137"/>
      <c r="J23" s="99"/>
      <c r="K23" s="100"/>
    </row>
    <row r="24" spans="1:11">
      <c r="A24" s="141"/>
      <c r="B24" s="136"/>
      <c r="C24" s="136"/>
      <c r="D24" s="136"/>
      <c r="E24" s="136"/>
      <c r="F24" s="136"/>
      <c r="G24" s="136"/>
      <c r="H24" s="136"/>
      <c r="I24" s="137"/>
      <c r="J24" s="99"/>
      <c r="K24" s="100"/>
    </row>
    <row r="25" spans="1:11">
      <c r="A25" s="87"/>
      <c r="B25" s="91"/>
      <c r="C25" s="91"/>
      <c r="D25" s="91"/>
      <c r="E25" s="91"/>
      <c r="F25" s="91"/>
      <c r="G25" s="91"/>
      <c r="H25" s="91"/>
      <c r="I25" s="95"/>
      <c r="J25" s="101"/>
      <c r="K25" s="102"/>
    </row>
    <row r="26" spans="1:11">
      <c r="A26" s="96" t="s">
        <v>50</v>
      </c>
      <c r="B26" s="86"/>
      <c r="C26" s="86"/>
      <c r="D26" s="86"/>
      <c r="E26" s="86"/>
      <c r="F26" s="86"/>
      <c r="G26" s="86"/>
      <c r="H26" s="86"/>
      <c r="I26" s="93"/>
      <c r="J26" s="97" t="s">
        <v>305</v>
      </c>
      <c r="K26" s="98">
        <v>1.5</v>
      </c>
    </row>
    <row r="27" spans="1:11">
      <c r="A27" s="141" t="str">
        <f>VLOOKUP('Factor Sheet'!B4,'Drop Down Info'!A72:H79,7,FALSE)</f>
        <v>Make secure and land
Appropriate landing for size and strength of rescuer</v>
      </c>
      <c r="B27" s="136"/>
      <c r="C27" s="136"/>
      <c r="D27" s="136"/>
      <c r="E27" s="136"/>
      <c r="F27" s="136"/>
      <c r="G27" s="136"/>
      <c r="H27" s="136"/>
      <c r="I27" s="137"/>
      <c r="J27" s="99"/>
      <c r="K27" s="100"/>
    </row>
    <row r="28" spans="1:11">
      <c r="A28" s="141"/>
      <c r="B28" s="136"/>
      <c r="C28" s="136"/>
      <c r="D28" s="136"/>
      <c r="E28" s="136"/>
      <c r="F28" s="136"/>
      <c r="G28" s="136"/>
      <c r="H28" s="136"/>
      <c r="I28" s="137"/>
      <c r="J28" s="99"/>
      <c r="K28" s="100"/>
    </row>
    <row r="29" spans="1:11">
      <c r="A29" s="141"/>
      <c r="B29" s="136"/>
      <c r="C29" s="136"/>
      <c r="D29" s="136"/>
      <c r="E29" s="136"/>
      <c r="F29" s="136"/>
      <c r="G29" s="136"/>
      <c r="H29" s="136"/>
      <c r="I29" s="137"/>
      <c r="J29" s="99"/>
      <c r="K29" s="100"/>
    </row>
    <row r="30" spans="1:11">
      <c r="A30" s="87"/>
      <c r="B30" s="91"/>
      <c r="C30" s="91"/>
      <c r="D30" s="91"/>
      <c r="E30" s="91"/>
      <c r="F30" s="91"/>
      <c r="G30" s="91"/>
      <c r="H30" s="91"/>
      <c r="I30" s="95"/>
      <c r="J30" s="101"/>
      <c r="K30" s="102"/>
    </row>
    <row r="31" spans="1:11">
      <c r="A31" s="96" t="s">
        <v>51</v>
      </c>
      <c r="B31" s="86"/>
      <c r="C31" s="86"/>
      <c r="D31" s="86"/>
      <c r="E31" s="86"/>
      <c r="F31" s="86"/>
      <c r="G31" s="86"/>
      <c r="H31" s="86"/>
      <c r="I31" s="93"/>
      <c r="J31" s="97" t="s">
        <v>305</v>
      </c>
      <c r="K31" s="98">
        <v>1</v>
      </c>
    </row>
    <row r="32" spans="1:11">
      <c r="A32" s="141" t="str">
        <f>VLOOKUP('Factor Sheet'!B4,'Drop Down Info'!A72:H79,8,FALSE)</f>
        <v>Safe position away from danger; warmth and protection where possible; monitor safety; ongoing monitoring and care</v>
      </c>
      <c r="B32" s="136"/>
      <c r="C32" s="136"/>
      <c r="D32" s="136"/>
      <c r="E32" s="136"/>
      <c r="F32" s="136"/>
      <c r="G32" s="136"/>
      <c r="H32" s="136"/>
      <c r="I32" s="137"/>
      <c r="J32" s="99"/>
      <c r="K32" s="100"/>
    </row>
    <row r="33" spans="1:11">
      <c r="A33" s="141"/>
      <c r="B33" s="136"/>
      <c r="C33" s="136"/>
      <c r="D33" s="136"/>
      <c r="E33" s="136"/>
      <c r="F33" s="136"/>
      <c r="G33" s="136"/>
      <c r="H33" s="136"/>
      <c r="I33" s="137"/>
      <c r="J33" s="99"/>
      <c r="K33" s="100"/>
    </row>
    <row r="34" spans="1:11">
      <c r="A34" s="141"/>
      <c r="B34" s="136"/>
      <c r="C34" s="136"/>
      <c r="D34" s="136"/>
      <c r="E34" s="136"/>
      <c r="F34" s="136"/>
      <c r="G34" s="136"/>
      <c r="H34" s="136"/>
      <c r="I34" s="137"/>
      <c r="J34" s="99"/>
      <c r="K34" s="100"/>
    </row>
    <row r="35" spans="1:11">
      <c r="A35" s="87"/>
      <c r="B35" s="91"/>
      <c r="C35" s="91"/>
      <c r="D35" s="91"/>
      <c r="E35" s="91"/>
      <c r="F35" s="91"/>
      <c r="G35" s="91"/>
      <c r="H35" s="91"/>
      <c r="I35" s="95"/>
      <c r="J35" s="101"/>
      <c r="K35" s="102"/>
    </row>
    <row r="36" spans="1:11" ht="35" customHeight="1">
      <c r="A36" s="145" t="s">
        <v>318</v>
      </c>
      <c r="B36" s="146"/>
      <c r="C36" s="146"/>
      <c r="D36" s="146"/>
      <c r="E36" s="146"/>
      <c r="F36" s="146"/>
      <c r="G36" s="146"/>
      <c r="H36" s="146"/>
      <c r="I36" s="147"/>
      <c r="J36" s="105"/>
      <c r="K36" s="106"/>
    </row>
    <row r="37" spans="1:11">
      <c r="I37" s="129" t="s">
        <v>319</v>
      </c>
      <c r="J37" s="85"/>
      <c r="K37" s="93"/>
    </row>
    <row r="38" spans="1:11">
      <c r="I38" s="130"/>
      <c r="J38" s="87"/>
      <c r="K38" s="95"/>
    </row>
  </sheetData>
  <mergeCells count="16">
    <mergeCell ref="I37:I38"/>
    <mergeCell ref="A22:I24"/>
    <mergeCell ref="A27:I29"/>
    <mergeCell ref="A32:I34"/>
    <mergeCell ref="A36:I36"/>
    <mergeCell ref="A17:I19"/>
    <mergeCell ref="A1:K1"/>
    <mergeCell ref="A6:K6"/>
    <mergeCell ref="A8:K8"/>
    <mergeCell ref="A10:I10"/>
    <mergeCell ref="A12:I14"/>
    <mergeCell ref="J9:K9"/>
    <mergeCell ref="H9:I9"/>
    <mergeCell ref="F9:G9"/>
    <mergeCell ref="D9:E9"/>
    <mergeCell ref="B9:C9"/>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1B26C-A41C-4D17-9C38-DBDC381BF2DD}">
  <dimension ref="A1:K38"/>
  <sheetViews>
    <sheetView topLeftCell="A27" workbookViewId="0">
      <selection activeCell="A43" sqref="A43"/>
    </sheetView>
  </sheetViews>
  <sheetFormatPr baseColWidth="10" defaultRowHeight="15.5"/>
  <cols>
    <col min="1" max="1" width="2.6328125" style="81" customWidth="1"/>
    <col min="2" max="11" width="9.6328125" style="81" customWidth="1"/>
    <col min="12" max="16384" width="10.90625" style="81"/>
  </cols>
  <sheetData>
    <row r="1" spans="1:11">
      <c r="A1" s="131" t="str">
        <f>CONCATENATE('Factor Sheet'!B5," ","- Victim ",'Factor Sheet'!A5)</f>
        <v>Weak Swimmer - Victim 4</v>
      </c>
      <c r="B1" s="132"/>
      <c r="C1" s="132"/>
      <c r="D1" s="132"/>
      <c r="E1" s="132"/>
      <c r="F1" s="132"/>
      <c r="G1" s="132"/>
      <c r="H1" s="132"/>
      <c r="I1" s="132"/>
      <c r="J1" s="132"/>
      <c r="K1" s="132"/>
    </row>
    <row r="2" spans="1:11">
      <c r="A2" s="81" t="s">
        <v>325</v>
      </c>
    </row>
    <row r="3" spans="1:11">
      <c r="A3" s="107" t="s">
        <v>292</v>
      </c>
      <c r="E3" s="107" t="s">
        <v>293</v>
      </c>
    </row>
    <row r="4" spans="1:11">
      <c r="G4" s="107" t="s">
        <v>294</v>
      </c>
    </row>
    <row r="5" spans="1:11">
      <c r="A5" s="108" t="str">
        <f>CONCATENATE("Victim: ",'Factor Sheet'!B5)</f>
        <v>Victim: Weak Swimmer</v>
      </c>
      <c r="B5" s="86"/>
      <c r="C5" s="86"/>
      <c r="D5" s="86"/>
      <c r="E5" s="86"/>
      <c r="F5" s="86"/>
      <c r="G5" s="86"/>
      <c r="H5" s="86"/>
      <c r="I5" s="86"/>
      <c r="J5" s="86"/>
      <c r="K5" s="93"/>
    </row>
    <row r="6" spans="1:11" ht="50" customHeight="1">
      <c r="A6" s="142" t="str">
        <f>VLOOKUP('Factor Sheet'!B5,'Drop Down Info'!A72:H79,2,FALSE)</f>
        <v>The victim is a weak swimmer struggling to get back to safety. They will be capable of shouting or calling out for help. They will be able to take an aid to get to safety. If a contact carry is performed they will struggle and resist. They will be able to land themselves. They will provide assistance or contact emergency services and will cooperative throughout.</v>
      </c>
      <c r="B6" s="143"/>
      <c r="C6" s="143"/>
      <c r="D6" s="143"/>
      <c r="E6" s="143"/>
      <c r="F6" s="143"/>
      <c r="G6" s="143"/>
      <c r="H6" s="143"/>
      <c r="I6" s="143"/>
      <c r="J6" s="143"/>
      <c r="K6" s="144"/>
    </row>
    <row r="7" spans="1:11">
      <c r="A7" s="108" t="s">
        <v>326</v>
      </c>
      <c r="B7" s="86"/>
      <c r="C7" s="86"/>
      <c r="D7" s="86"/>
      <c r="E7" s="86"/>
      <c r="F7" s="86"/>
      <c r="G7" s="86"/>
      <c r="H7" s="86"/>
      <c r="I7" s="86"/>
      <c r="J7" s="86"/>
      <c r="K7" s="93"/>
    </row>
    <row r="8" spans="1:11" ht="70" customHeight="1">
      <c r="A8" s="142" t="str">
        <f>VLOOKUP('Factor Sheet'!B5,'Drop Down Info'!A72:H79,3,FALSE)</f>
        <v>Weak swimmers need to be made safe very quickly. The victim can be talked at or given signs to return to safety; they will need to be kept monitored. They will struggle if a contact rescue is used; low marks should be awarded for contact rescue</v>
      </c>
      <c r="B8" s="136"/>
      <c r="C8" s="136"/>
      <c r="D8" s="136"/>
      <c r="E8" s="136"/>
      <c r="F8" s="136"/>
      <c r="G8" s="136"/>
      <c r="H8" s="136"/>
      <c r="I8" s="136"/>
      <c r="J8" s="136"/>
      <c r="K8" s="137"/>
    </row>
    <row r="9" spans="1:11">
      <c r="B9" s="127" t="s">
        <v>320</v>
      </c>
      <c r="C9" s="128"/>
      <c r="D9" s="127" t="s">
        <v>321</v>
      </c>
      <c r="E9" s="128"/>
      <c r="F9" s="127" t="s">
        <v>322</v>
      </c>
      <c r="G9" s="128"/>
      <c r="H9" s="127" t="s">
        <v>323</v>
      </c>
      <c r="I9" s="128"/>
      <c r="J9" s="127" t="s">
        <v>324</v>
      </c>
      <c r="K9" s="128"/>
    </row>
    <row r="10" spans="1:11">
      <c r="A10" s="138" t="s">
        <v>299</v>
      </c>
      <c r="B10" s="139"/>
      <c r="C10" s="139"/>
      <c r="D10" s="139"/>
      <c r="E10" s="139"/>
      <c r="F10" s="139"/>
      <c r="G10" s="139"/>
      <c r="H10" s="139"/>
      <c r="I10" s="140"/>
      <c r="J10" s="103" t="s">
        <v>300</v>
      </c>
      <c r="K10" s="104"/>
    </row>
    <row r="11" spans="1:11">
      <c r="A11" s="96" t="s">
        <v>137</v>
      </c>
      <c r="B11" s="86"/>
      <c r="C11" s="86"/>
      <c r="D11" s="86"/>
      <c r="E11" s="86"/>
      <c r="F11" s="86"/>
      <c r="G11" s="86"/>
      <c r="H11" s="86"/>
      <c r="I11" s="93"/>
      <c r="J11" s="97" t="s">
        <v>305</v>
      </c>
      <c r="K11" s="98">
        <v>1</v>
      </c>
    </row>
    <row r="12" spans="1:11">
      <c r="A12" s="141" t="str">
        <f>VLOOKUP('Factor Sheet'!B5,'Drop Down Info'!A72:H79,4,FALSE)</f>
        <v xml:space="preserve">Recognition that they are a weak swimmer and high priority to mobilize. 
Safe approach by rescuer
</v>
      </c>
      <c r="B12" s="136"/>
      <c r="C12" s="136"/>
      <c r="D12" s="136"/>
      <c r="E12" s="136"/>
      <c r="F12" s="136"/>
      <c r="G12" s="136"/>
      <c r="H12" s="136"/>
      <c r="I12" s="137"/>
      <c r="J12" s="99"/>
      <c r="K12" s="100"/>
    </row>
    <row r="13" spans="1:11">
      <c r="A13" s="141"/>
      <c r="B13" s="136"/>
      <c r="C13" s="136"/>
      <c r="D13" s="136"/>
      <c r="E13" s="136"/>
      <c r="F13" s="136"/>
      <c r="G13" s="136"/>
      <c r="H13" s="136"/>
      <c r="I13" s="137"/>
      <c r="J13" s="99"/>
      <c r="K13" s="100"/>
    </row>
    <row r="14" spans="1:11">
      <c r="A14" s="141"/>
      <c r="B14" s="136"/>
      <c r="C14" s="136"/>
      <c r="D14" s="136"/>
      <c r="E14" s="136"/>
      <c r="F14" s="136"/>
      <c r="G14" s="136"/>
      <c r="H14" s="136"/>
      <c r="I14" s="137"/>
      <c r="J14" s="99"/>
      <c r="K14" s="100"/>
    </row>
    <row r="15" spans="1:11">
      <c r="A15" s="87"/>
      <c r="B15" s="91"/>
      <c r="C15" s="91"/>
      <c r="D15" s="91"/>
      <c r="E15" s="91"/>
      <c r="F15" s="91"/>
      <c r="G15" s="91"/>
      <c r="H15" s="91"/>
      <c r="I15" s="95"/>
      <c r="J15" s="101"/>
      <c r="K15" s="102"/>
    </row>
    <row r="16" spans="1:11">
      <c r="A16" s="96" t="s">
        <v>48</v>
      </c>
      <c r="B16" s="86"/>
      <c r="C16" s="86"/>
      <c r="D16" s="86"/>
      <c r="E16" s="86"/>
      <c r="F16" s="86"/>
      <c r="G16" s="86"/>
      <c r="H16" s="86"/>
      <c r="I16" s="93"/>
      <c r="J16" s="97" t="s">
        <v>305</v>
      </c>
      <c r="K16" s="98">
        <v>1.5</v>
      </c>
    </row>
    <row r="17" spans="1:11">
      <c r="A17" s="141" t="str">
        <f>VLOOKUP('Factor Sheet'!B5,'Drop Down Info'!A72:H79,5,FALSE)</f>
        <v>Encourage return to safety with clear directions; perform a non-contact rescue (low marks for contact rescue if not required – maximum 5 marks for this section)
Monitor while still in water; may require further directions/instructions</v>
      </c>
      <c r="B17" s="136"/>
      <c r="C17" s="136"/>
      <c r="D17" s="136"/>
      <c r="E17" s="136"/>
      <c r="F17" s="136"/>
      <c r="G17" s="136"/>
      <c r="H17" s="136"/>
      <c r="I17" s="137"/>
      <c r="J17" s="99"/>
      <c r="K17" s="100"/>
    </row>
    <row r="18" spans="1:11">
      <c r="A18" s="141"/>
      <c r="B18" s="136"/>
      <c r="C18" s="136"/>
      <c r="D18" s="136"/>
      <c r="E18" s="136"/>
      <c r="F18" s="136"/>
      <c r="G18" s="136"/>
      <c r="H18" s="136"/>
      <c r="I18" s="137"/>
      <c r="J18" s="99"/>
      <c r="K18" s="100"/>
    </row>
    <row r="19" spans="1:11">
      <c r="A19" s="141"/>
      <c r="B19" s="136"/>
      <c r="C19" s="136"/>
      <c r="D19" s="136"/>
      <c r="E19" s="136"/>
      <c r="F19" s="136"/>
      <c r="G19" s="136"/>
      <c r="H19" s="136"/>
      <c r="I19" s="137"/>
      <c r="J19" s="99"/>
      <c r="K19" s="100"/>
    </row>
    <row r="20" spans="1:11">
      <c r="A20" s="87"/>
      <c r="B20" s="91"/>
      <c r="C20" s="91"/>
      <c r="D20" s="91"/>
      <c r="E20" s="91"/>
      <c r="F20" s="91"/>
      <c r="G20" s="91"/>
      <c r="H20" s="91"/>
      <c r="I20" s="95"/>
      <c r="J20" s="101"/>
      <c r="K20" s="102"/>
    </row>
    <row r="21" spans="1:11">
      <c r="A21" s="96" t="s">
        <v>327</v>
      </c>
      <c r="B21" s="86"/>
      <c r="C21" s="86"/>
      <c r="D21" s="86"/>
      <c r="E21" s="86"/>
      <c r="F21" s="86"/>
      <c r="G21" s="86"/>
      <c r="H21" s="86"/>
      <c r="I21" s="93"/>
      <c r="J21" s="97" t="s">
        <v>305</v>
      </c>
      <c r="K21" s="98">
        <v>1.25</v>
      </c>
    </row>
    <row r="22" spans="1:11">
      <c r="A22" s="141" t="str">
        <f>VLOOKUP('Factor Sheet'!B5,'Drop Down Info'!A72:H79,6,FALSE)</f>
        <v>Effective communication / instruction; use for keeping another victim warm / safe</v>
      </c>
      <c r="B22" s="136"/>
      <c r="C22" s="136"/>
      <c r="D22" s="136"/>
      <c r="E22" s="136"/>
      <c r="F22" s="136"/>
      <c r="G22" s="136"/>
      <c r="H22" s="136"/>
      <c r="I22" s="137"/>
      <c r="J22" s="99"/>
      <c r="K22" s="100"/>
    </row>
    <row r="23" spans="1:11">
      <c r="A23" s="141"/>
      <c r="B23" s="136"/>
      <c r="C23" s="136"/>
      <c r="D23" s="136"/>
      <c r="E23" s="136"/>
      <c r="F23" s="136"/>
      <c r="G23" s="136"/>
      <c r="H23" s="136"/>
      <c r="I23" s="137"/>
      <c r="J23" s="99"/>
      <c r="K23" s="100"/>
    </row>
    <row r="24" spans="1:11">
      <c r="A24" s="141"/>
      <c r="B24" s="136"/>
      <c r="C24" s="136"/>
      <c r="D24" s="136"/>
      <c r="E24" s="136"/>
      <c r="F24" s="136"/>
      <c r="G24" s="136"/>
      <c r="H24" s="136"/>
      <c r="I24" s="137"/>
      <c r="J24" s="99"/>
      <c r="K24" s="100"/>
    </row>
    <row r="25" spans="1:11">
      <c r="A25" s="87"/>
      <c r="B25" s="91"/>
      <c r="C25" s="91"/>
      <c r="D25" s="91"/>
      <c r="E25" s="91"/>
      <c r="F25" s="91"/>
      <c r="G25" s="91"/>
      <c r="H25" s="91"/>
      <c r="I25" s="95"/>
      <c r="J25" s="101"/>
      <c r="K25" s="102"/>
    </row>
    <row r="26" spans="1:11">
      <c r="A26" s="96" t="s">
        <v>50</v>
      </c>
      <c r="B26" s="86"/>
      <c r="C26" s="86"/>
      <c r="D26" s="86"/>
      <c r="E26" s="86"/>
      <c r="F26" s="86"/>
      <c r="G26" s="86"/>
      <c r="H26" s="86"/>
      <c r="I26" s="93"/>
      <c r="J26" s="97" t="s">
        <v>305</v>
      </c>
      <c r="K26" s="98">
        <v>1.5</v>
      </c>
    </row>
    <row r="27" spans="1:11">
      <c r="A27" s="141" t="str">
        <f>VLOOKUP('Factor Sheet'!B5,'Drop Down Info'!A72:H79,7,FALSE)</f>
        <v>Make secure and land
Appropriate landing for size and strength of rescuer</v>
      </c>
      <c r="B27" s="136"/>
      <c r="C27" s="136"/>
      <c r="D27" s="136"/>
      <c r="E27" s="136"/>
      <c r="F27" s="136"/>
      <c r="G27" s="136"/>
      <c r="H27" s="136"/>
      <c r="I27" s="137"/>
      <c r="J27" s="99"/>
      <c r="K27" s="100"/>
    </row>
    <row r="28" spans="1:11">
      <c r="A28" s="141"/>
      <c r="B28" s="136"/>
      <c r="C28" s="136"/>
      <c r="D28" s="136"/>
      <c r="E28" s="136"/>
      <c r="F28" s="136"/>
      <c r="G28" s="136"/>
      <c r="H28" s="136"/>
      <c r="I28" s="137"/>
      <c r="J28" s="99"/>
      <c r="K28" s="100"/>
    </row>
    <row r="29" spans="1:11">
      <c r="A29" s="141"/>
      <c r="B29" s="136"/>
      <c r="C29" s="136"/>
      <c r="D29" s="136"/>
      <c r="E29" s="136"/>
      <c r="F29" s="136"/>
      <c r="G29" s="136"/>
      <c r="H29" s="136"/>
      <c r="I29" s="137"/>
      <c r="J29" s="99"/>
      <c r="K29" s="100"/>
    </row>
    <row r="30" spans="1:11">
      <c r="A30" s="87"/>
      <c r="B30" s="91"/>
      <c r="C30" s="91"/>
      <c r="D30" s="91"/>
      <c r="E30" s="91"/>
      <c r="F30" s="91"/>
      <c r="G30" s="91"/>
      <c r="H30" s="91"/>
      <c r="I30" s="95"/>
      <c r="J30" s="101"/>
      <c r="K30" s="102"/>
    </row>
    <row r="31" spans="1:11">
      <c r="A31" s="96" t="s">
        <v>51</v>
      </c>
      <c r="B31" s="86"/>
      <c r="C31" s="86"/>
      <c r="D31" s="86"/>
      <c r="E31" s="86"/>
      <c r="F31" s="86"/>
      <c r="G31" s="86"/>
      <c r="H31" s="86"/>
      <c r="I31" s="93"/>
      <c r="J31" s="97" t="s">
        <v>305</v>
      </c>
      <c r="K31" s="98">
        <v>1</v>
      </c>
    </row>
    <row r="32" spans="1:11">
      <c r="A32" s="141" t="str">
        <f>VLOOKUP('Factor Sheet'!B5,'Drop Down Info'!A72:H79,8,FALSE)</f>
        <v>Safe position away from danger; warmth and protection where possible; monitor safety; ongoing monitoring and care</v>
      </c>
      <c r="B32" s="136"/>
      <c r="C32" s="136"/>
      <c r="D32" s="136"/>
      <c r="E32" s="136"/>
      <c r="F32" s="136"/>
      <c r="G32" s="136"/>
      <c r="H32" s="136"/>
      <c r="I32" s="137"/>
      <c r="J32" s="99"/>
      <c r="K32" s="100"/>
    </row>
    <row r="33" spans="1:11">
      <c r="A33" s="141"/>
      <c r="B33" s="136"/>
      <c r="C33" s="136"/>
      <c r="D33" s="136"/>
      <c r="E33" s="136"/>
      <c r="F33" s="136"/>
      <c r="G33" s="136"/>
      <c r="H33" s="136"/>
      <c r="I33" s="137"/>
      <c r="J33" s="99"/>
      <c r="K33" s="100"/>
    </row>
    <row r="34" spans="1:11">
      <c r="A34" s="141"/>
      <c r="B34" s="136"/>
      <c r="C34" s="136"/>
      <c r="D34" s="136"/>
      <c r="E34" s="136"/>
      <c r="F34" s="136"/>
      <c r="G34" s="136"/>
      <c r="H34" s="136"/>
      <c r="I34" s="137"/>
      <c r="J34" s="99"/>
      <c r="K34" s="100"/>
    </row>
    <row r="35" spans="1:11">
      <c r="A35" s="87"/>
      <c r="B35" s="91"/>
      <c r="C35" s="91"/>
      <c r="D35" s="91"/>
      <c r="E35" s="91"/>
      <c r="F35" s="91"/>
      <c r="G35" s="91"/>
      <c r="H35" s="91"/>
      <c r="I35" s="95"/>
      <c r="J35" s="101"/>
      <c r="K35" s="102"/>
    </row>
    <row r="36" spans="1:11" ht="35" customHeight="1">
      <c r="A36" s="145" t="s">
        <v>318</v>
      </c>
      <c r="B36" s="146"/>
      <c r="C36" s="146"/>
      <c r="D36" s="146"/>
      <c r="E36" s="146"/>
      <c r="F36" s="146"/>
      <c r="G36" s="146"/>
      <c r="H36" s="146"/>
      <c r="I36" s="147"/>
      <c r="J36" s="105"/>
      <c r="K36" s="106"/>
    </row>
    <row r="37" spans="1:11">
      <c r="I37" s="129" t="s">
        <v>319</v>
      </c>
      <c r="J37" s="85"/>
      <c r="K37" s="93"/>
    </row>
    <row r="38" spans="1:11">
      <c r="I38" s="130"/>
      <c r="J38" s="87"/>
      <c r="K38" s="95"/>
    </row>
  </sheetData>
  <mergeCells count="16">
    <mergeCell ref="I37:I38"/>
    <mergeCell ref="A22:I24"/>
    <mergeCell ref="A27:I29"/>
    <mergeCell ref="A32:I34"/>
    <mergeCell ref="A36:I36"/>
    <mergeCell ref="A17:I19"/>
    <mergeCell ref="A1:K1"/>
    <mergeCell ref="A6:K6"/>
    <mergeCell ref="A8:K8"/>
    <mergeCell ref="A10:I10"/>
    <mergeCell ref="A12:I14"/>
    <mergeCell ref="J9:K9"/>
    <mergeCell ref="H9:I9"/>
    <mergeCell ref="F9:G9"/>
    <mergeCell ref="D9:E9"/>
    <mergeCell ref="B9:C9"/>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FCAD7-2301-4A5E-BA89-0CC070A53665}">
  <dimension ref="A1:K38"/>
  <sheetViews>
    <sheetView topLeftCell="A27" workbookViewId="0">
      <selection activeCell="A43" sqref="A43"/>
    </sheetView>
  </sheetViews>
  <sheetFormatPr baseColWidth="10" defaultRowHeight="15.5"/>
  <cols>
    <col min="1" max="1" width="2.6328125" style="81" customWidth="1"/>
    <col min="2" max="11" width="9.6328125" style="81" customWidth="1"/>
    <col min="12" max="16384" width="10.90625" style="81"/>
  </cols>
  <sheetData>
    <row r="1" spans="1:11">
      <c r="A1" s="131" t="str">
        <f>CONCATENATE('Factor Sheet'!B6," ","- Victim ",'Factor Sheet'!A6)</f>
        <v>Injured Swimmer - Victim 5</v>
      </c>
      <c r="B1" s="132"/>
      <c r="C1" s="132"/>
      <c r="D1" s="132"/>
      <c r="E1" s="132"/>
      <c r="F1" s="132"/>
      <c r="G1" s="132"/>
      <c r="H1" s="132"/>
      <c r="I1" s="132"/>
      <c r="J1" s="132"/>
      <c r="K1" s="132"/>
    </row>
    <row r="2" spans="1:11">
      <c r="A2" s="81" t="s">
        <v>325</v>
      </c>
    </row>
    <row r="3" spans="1:11">
      <c r="A3" s="107" t="s">
        <v>292</v>
      </c>
      <c r="E3" s="107" t="s">
        <v>293</v>
      </c>
    </row>
    <row r="4" spans="1:11">
      <c r="G4" s="107" t="s">
        <v>294</v>
      </c>
    </row>
    <row r="5" spans="1:11">
      <c r="A5" s="108" t="str">
        <f>CONCATENATE("Victim: ",'Factor Sheet'!B6)</f>
        <v>Victim: Injured Swimmer</v>
      </c>
      <c r="B5" s="86"/>
      <c r="C5" s="86"/>
      <c r="D5" s="86"/>
      <c r="E5" s="86"/>
      <c r="F5" s="86"/>
      <c r="G5" s="86"/>
      <c r="H5" s="86"/>
      <c r="I5" s="86"/>
      <c r="J5" s="86"/>
      <c r="K5" s="93"/>
    </row>
    <row r="6" spans="1:11" ht="50" customHeight="1">
      <c r="A6" s="142" t="str">
        <f>VLOOKUP('Factor Sheet'!B6,'Drop Down Info'!A72:H79,2,FALSE)</f>
        <v>Victim will be complaining of a specific injury and will not be calmed.</v>
      </c>
      <c r="B6" s="143"/>
      <c r="C6" s="143"/>
      <c r="D6" s="143"/>
      <c r="E6" s="143"/>
      <c r="F6" s="143"/>
      <c r="G6" s="143"/>
      <c r="H6" s="143"/>
      <c r="I6" s="143"/>
      <c r="J6" s="143"/>
      <c r="K6" s="144"/>
    </row>
    <row r="7" spans="1:11">
      <c r="A7" s="108" t="s">
        <v>326</v>
      </c>
      <c r="B7" s="86"/>
      <c r="C7" s="86"/>
      <c r="D7" s="86"/>
      <c r="E7" s="86"/>
      <c r="F7" s="86"/>
      <c r="G7" s="86"/>
      <c r="H7" s="86"/>
      <c r="I7" s="86"/>
      <c r="J7" s="86"/>
      <c r="K7" s="93"/>
    </row>
    <row r="8" spans="1:11" ht="70" customHeight="1">
      <c r="A8" s="142" t="str">
        <f>VLOOKUP('Factor Sheet'!B6,'Drop Down Info'!A72:H79,3,FALSE)</f>
        <v>This is a medium priority victim requiring assistance. Rescuer should use an aid. Victim may not be able to hold an aid depending on the injury and may need assistance in the water and on landing. The victim should be removed carefully from the water with attention to the injured part of the body. They will not be cooperative.</v>
      </c>
      <c r="B8" s="136"/>
      <c r="C8" s="136"/>
      <c r="D8" s="136"/>
      <c r="E8" s="136"/>
      <c r="F8" s="136"/>
      <c r="G8" s="136"/>
      <c r="H8" s="136"/>
      <c r="I8" s="136"/>
      <c r="J8" s="136"/>
      <c r="K8" s="137"/>
    </row>
    <row r="9" spans="1:11">
      <c r="B9" s="127" t="s">
        <v>320</v>
      </c>
      <c r="C9" s="128"/>
      <c r="D9" s="127" t="s">
        <v>321</v>
      </c>
      <c r="E9" s="128"/>
      <c r="F9" s="127" t="s">
        <v>322</v>
      </c>
      <c r="G9" s="128"/>
      <c r="H9" s="127" t="s">
        <v>323</v>
      </c>
      <c r="I9" s="128"/>
      <c r="J9" s="127" t="s">
        <v>324</v>
      </c>
      <c r="K9" s="128"/>
    </row>
    <row r="10" spans="1:11">
      <c r="A10" s="138" t="s">
        <v>299</v>
      </c>
      <c r="B10" s="139"/>
      <c r="C10" s="139"/>
      <c r="D10" s="139"/>
      <c r="E10" s="139"/>
      <c r="F10" s="139"/>
      <c r="G10" s="139"/>
      <c r="H10" s="139"/>
      <c r="I10" s="140"/>
      <c r="J10" s="103" t="s">
        <v>300</v>
      </c>
      <c r="K10" s="104"/>
    </row>
    <row r="11" spans="1:11">
      <c r="A11" s="96" t="s">
        <v>137</v>
      </c>
      <c r="B11" s="86"/>
      <c r="C11" s="86"/>
      <c r="D11" s="86"/>
      <c r="E11" s="86"/>
      <c r="F11" s="86"/>
      <c r="G11" s="86"/>
      <c r="H11" s="86"/>
      <c r="I11" s="93"/>
      <c r="J11" s="97" t="s">
        <v>305</v>
      </c>
      <c r="K11" s="98">
        <v>1</v>
      </c>
    </row>
    <row r="12" spans="1:11">
      <c r="A12" s="141" t="str">
        <f>VLOOKUP('Factor Sheet'!B6,'Drop Down Info'!A72:H79,4,FALSE)</f>
        <v>Recognition that they are an injured swimmer and medium priority to mobilize
Safe approach by rescuer</v>
      </c>
      <c r="B12" s="136"/>
      <c r="C12" s="136"/>
      <c r="D12" s="136"/>
      <c r="E12" s="136"/>
      <c r="F12" s="136"/>
      <c r="G12" s="136"/>
      <c r="H12" s="136"/>
      <c r="I12" s="137"/>
      <c r="J12" s="99"/>
      <c r="K12" s="100"/>
    </row>
    <row r="13" spans="1:11">
      <c r="A13" s="141"/>
      <c r="B13" s="136"/>
      <c r="C13" s="136"/>
      <c r="D13" s="136"/>
      <c r="E13" s="136"/>
      <c r="F13" s="136"/>
      <c r="G13" s="136"/>
      <c r="H13" s="136"/>
      <c r="I13" s="137"/>
      <c r="J13" s="99"/>
      <c r="K13" s="100"/>
    </row>
    <row r="14" spans="1:11">
      <c r="A14" s="141"/>
      <c r="B14" s="136"/>
      <c r="C14" s="136"/>
      <c r="D14" s="136"/>
      <c r="E14" s="136"/>
      <c r="F14" s="136"/>
      <c r="G14" s="136"/>
      <c r="H14" s="136"/>
      <c r="I14" s="137"/>
      <c r="J14" s="99"/>
      <c r="K14" s="100"/>
    </row>
    <row r="15" spans="1:11">
      <c r="A15" s="87"/>
      <c r="B15" s="91"/>
      <c r="C15" s="91"/>
      <c r="D15" s="91"/>
      <c r="E15" s="91"/>
      <c r="F15" s="91"/>
      <c r="G15" s="91"/>
      <c r="H15" s="91"/>
      <c r="I15" s="95"/>
      <c r="J15" s="101"/>
      <c r="K15" s="102"/>
    </row>
    <row r="16" spans="1:11">
      <c r="A16" s="96" t="s">
        <v>48</v>
      </c>
      <c r="B16" s="86"/>
      <c r="C16" s="86"/>
      <c r="D16" s="86"/>
      <c r="E16" s="86"/>
      <c r="F16" s="86"/>
      <c r="G16" s="86"/>
      <c r="H16" s="86"/>
      <c r="I16" s="93"/>
      <c r="J16" s="97" t="s">
        <v>305</v>
      </c>
      <c r="K16" s="98">
        <v>1.25</v>
      </c>
    </row>
    <row r="17" spans="1:11">
      <c r="A17" s="141" t="str">
        <f>VLOOKUP('Factor Sheet'!B6,'Drop Down Info'!A72:H79,5,FALSE)</f>
        <v>Encourage to return to the edge with clear directions
Perform non-contact rescue
(low marks for contact rescue if not required – maximum 5 marks for this section)
Monitor while still in water; may require further directions/instructions</v>
      </c>
      <c r="B17" s="136"/>
      <c r="C17" s="136"/>
      <c r="D17" s="136"/>
      <c r="E17" s="136"/>
      <c r="F17" s="136"/>
      <c r="G17" s="136"/>
      <c r="H17" s="136"/>
      <c r="I17" s="137"/>
      <c r="J17" s="99"/>
      <c r="K17" s="100"/>
    </row>
    <row r="18" spans="1:11">
      <c r="A18" s="141"/>
      <c r="B18" s="136"/>
      <c r="C18" s="136"/>
      <c r="D18" s="136"/>
      <c r="E18" s="136"/>
      <c r="F18" s="136"/>
      <c r="G18" s="136"/>
      <c r="H18" s="136"/>
      <c r="I18" s="137"/>
      <c r="J18" s="99"/>
      <c r="K18" s="100"/>
    </row>
    <row r="19" spans="1:11">
      <c r="A19" s="141"/>
      <c r="B19" s="136"/>
      <c r="C19" s="136"/>
      <c r="D19" s="136"/>
      <c r="E19" s="136"/>
      <c r="F19" s="136"/>
      <c r="G19" s="136"/>
      <c r="H19" s="136"/>
      <c r="I19" s="137"/>
      <c r="J19" s="99"/>
      <c r="K19" s="100"/>
    </row>
    <row r="20" spans="1:11">
      <c r="A20" s="87"/>
      <c r="B20" s="91"/>
      <c r="C20" s="91"/>
      <c r="D20" s="91"/>
      <c r="E20" s="91"/>
      <c r="F20" s="91"/>
      <c r="G20" s="91"/>
      <c r="H20" s="91"/>
      <c r="I20" s="95"/>
      <c r="J20" s="101"/>
      <c r="K20" s="102"/>
    </row>
    <row r="21" spans="1:11">
      <c r="A21" s="96" t="s">
        <v>327</v>
      </c>
      <c r="B21" s="86"/>
      <c r="C21" s="86"/>
      <c r="D21" s="86"/>
      <c r="E21" s="86"/>
      <c r="F21" s="86"/>
      <c r="G21" s="86"/>
      <c r="H21" s="86"/>
      <c r="I21" s="93"/>
      <c r="J21" s="97" t="s">
        <v>305</v>
      </c>
      <c r="K21" s="98">
        <v>1</v>
      </c>
    </row>
    <row r="22" spans="1:11">
      <c r="A22" s="141" t="str">
        <f>VLOOKUP('Factor Sheet'!B6,'Drop Down Info'!A72:H79,6,FALSE)</f>
        <v>Effective communication / instruction
Reassurance throughout rescue</v>
      </c>
      <c r="B22" s="136"/>
      <c r="C22" s="136"/>
      <c r="D22" s="136"/>
      <c r="E22" s="136"/>
      <c r="F22" s="136"/>
      <c r="G22" s="136"/>
      <c r="H22" s="136"/>
      <c r="I22" s="137"/>
      <c r="J22" s="99"/>
      <c r="K22" s="100"/>
    </row>
    <row r="23" spans="1:11">
      <c r="A23" s="141"/>
      <c r="B23" s="136"/>
      <c r="C23" s="136"/>
      <c r="D23" s="136"/>
      <c r="E23" s="136"/>
      <c r="F23" s="136"/>
      <c r="G23" s="136"/>
      <c r="H23" s="136"/>
      <c r="I23" s="137"/>
      <c r="J23" s="99"/>
      <c r="K23" s="100"/>
    </row>
    <row r="24" spans="1:11">
      <c r="A24" s="141"/>
      <c r="B24" s="136"/>
      <c r="C24" s="136"/>
      <c r="D24" s="136"/>
      <c r="E24" s="136"/>
      <c r="F24" s="136"/>
      <c r="G24" s="136"/>
      <c r="H24" s="136"/>
      <c r="I24" s="137"/>
      <c r="J24" s="99"/>
      <c r="K24" s="100"/>
    </row>
    <row r="25" spans="1:11">
      <c r="A25" s="87"/>
      <c r="B25" s="91"/>
      <c r="C25" s="91"/>
      <c r="D25" s="91"/>
      <c r="E25" s="91"/>
      <c r="F25" s="91"/>
      <c r="G25" s="91"/>
      <c r="H25" s="91"/>
      <c r="I25" s="95"/>
      <c r="J25" s="101"/>
      <c r="K25" s="102"/>
    </row>
    <row r="26" spans="1:11">
      <c r="A26" s="96" t="s">
        <v>50</v>
      </c>
      <c r="B26" s="86"/>
      <c r="C26" s="86"/>
      <c r="D26" s="86"/>
      <c r="E26" s="86"/>
      <c r="F26" s="86"/>
      <c r="G26" s="86"/>
      <c r="H26" s="86"/>
      <c r="I26" s="93"/>
      <c r="J26" s="97" t="s">
        <v>305</v>
      </c>
      <c r="K26" s="98">
        <v>1.25</v>
      </c>
    </row>
    <row r="27" spans="1:11">
      <c r="A27" s="141" t="str">
        <f>VLOOKUP('Factor Sheet'!B6,'Drop Down Info'!A72:H79,7,FALSE)</f>
        <v>Careful removal from water with attention to injury
Make secure and land (monitor while still in water; may require further directions/instructions)
Appropriate landing for size and strength of rescuer</v>
      </c>
      <c r="B27" s="136"/>
      <c r="C27" s="136"/>
      <c r="D27" s="136"/>
      <c r="E27" s="136"/>
      <c r="F27" s="136"/>
      <c r="G27" s="136"/>
      <c r="H27" s="136"/>
      <c r="I27" s="137"/>
      <c r="J27" s="99"/>
      <c r="K27" s="100"/>
    </row>
    <row r="28" spans="1:11">
      <c r="A28" s="141"/>
      <c r="B28" s="136"/>
      <c r="C28" s="136"/>
      <c r="D28" s="136"/>
      <c r="E28" s="136"/>
      <c r="F28" s="136"/>
      <c r="G28" s="136"/>
      <c r="H28" s="136"/>
      <c r="I28" s="137"/>
      <c r="J28" s="99"/>
      <c r="K28" s="100"/>
    </row>
    <row r="29" spans="1:11">
      <c r="A29" s="141"/>
      <c r="B29" s="136"/>
      <c r="C29" s="136"/>
      <c r="D29" s="136"/>
      <c r="E29" s="136"/>
      <c r="F29" s="136"/>
      <c r="G29" s="136"/>
      <c r="H29" s="136"/>
      <c r="I29" s="137"/>
      <c r="J29" s="99"/>
      <c r="K29" s="100"/>
    </row>
    <row r="30" spans="1:11">
      <c r="A30" s="87"/>
      <c r="B30" s="91"/>
      <c r="C30" s="91"/>
      <c r="D30" s="91"/>
      <c r="E30" s="91"/>
      <c r="F30" s="91"/>
      <c r="G30" s="91"/>
      <c r="H30" s="91"/>
      <c r="I30" s="95"/>
      <c r="J30" s="101"/>
      <c r="K30" s="102"/>
    </row>
    <row r="31" spans="1:11">
      <c r="A31" s="96" t="s">
        <v>51</v>
      </c>
      <c r="B31" s="86"/>
      <c r="C31" s="86"/>
      <c r="D31" s="86"/>
      <c r="E31" s="86"/>
      <c r="F31" s="86"/>
      <c r="G31" s="86"/>
      <c r="H31" s="86"/>
      <c r="I31" s="93"/>
      <c r="J31" s="97" t="s">
        <v>305</v>
      </c>
      <c r="K31" s="98">
        <v>1.25</v>
      </c>
    </row>
    <row r="32" spans="1:11">
      <c r="A32" s="141" t="str">
        <f>VLOOKUP('Factor Sheet'!B6,'Drop Down Info'!A72:H79,8,FALSE)</f>
        <v>Safe position away from the edge; warmth and protection where possible; monitor safety; ongoing monitoring and care</v>
      </c>
      <c r="B32" s="136"/>
      <c r="C32" s="136"/>
      <c r="D32" s="136"/>
      <c r="E32" s="136"/>
      <c r="F32" s="136"/>
      <c r="G32" s="136"/>
      <c r="H32" s="136"/>
      <c r="I32" s="137"/>
      <c r="J32" s="99"/>
      <c r="K32" s="100"/>
    </row>
    <row r="33" spans="1:11">
      <c r="A33" s="141"/>
      <c r="B33" s="136"/>
      <c r="C33" s="136"/>
      <c r="D33" s="136"/>
      <c r="E33" s="136"/>
      <c r="F33" s="136"/>
      <c r="G33" s="136"/>
      <c r="H33" s="136"/>
      <c r="I33" s="137"/>
      <c r="J33" s="99"/>
      <c r="K33" s="100"/>
    </row>
    <row r="34" spans="1:11">
      <c r="A34" s="141"/>
      <c r="B34" s="136"/>
      <c r="C34" s="136"/>
      <c r="D34" s="136"/>
      <c r="E34" s="136"/>
      <c r="F34" s="136"/>
      <c r="G34" s="136"/>
      <c r="H34" s="136"/>
      <c r="I34" s="137"/>
      <c r="J34" s="99"/>
      <c r="K34" s="100"/>
    </row>
    <row r="35" spans="1:11">
      <c r="A35" s="87"/>
      <c r="B35" s="91"/>
      <c r="C35" s="91"/>
      <c r="D35" s="91"/>
      <c r="E35" s="91"/>
      <c r="F35" s="91"/>
      <c r="G35" s="91"/>
      <c r="H35" s="91"/>
      <c r="I35" s="95"/>
      <c r="J35" s="101"/>
      <c r="K35" s="102"/>
    </row>
    <row r="36" spans="1:11" ht="35" customHeight="1">
      <c r="A36" s="145" t="s">
        <v>318</v>
      </c>
      <c r="B36" s="146"/>
      <c r="C36" s="146"/>
      <c r="D36" s="146"/>
      <c r="E36" s="146"/>
      <c r="F36" s="146"/>
      <c r="G36" s="146"/>
      <c r="H36" s="146"/>
      <c r="I36" s="147"/>
      <c r="J36" s="105"/>
      <c r="K36" s="106"/>
    </row>
    <row r="37" spans="1:11">
      <c r="I37" s="129" t="s">
        <v>319</v>
      </c>
      <c r="J37" s="85"/>
      <c r="K37" s="93"/>
    </row>
    <row r="38" spans="1:11">
      <c r="I38" s="130"/>
      <c r="J38" s="87"/>
      <c r="K38" s="95"/>
    </row>
  </sheetData>
  <mergeCells count="16">
    <mergeCell ref="I37:I38"/>
    <mergeCell ref="A22:I24"/>
    <mergeCell ref="A27:I29"/>
    <mergeCell ref="A32:I34"/>
    <mergeCell ref="A36:I36"/>
    <mergeCell ref="A17:I19"/>
    <mergeCell ref="A1:K1"/>
    <mergeCell ref="A6:K6"/>
    <mergeCell ref="A8:K8"/>
    <mergeCell ref="A10:I10"/>
    <mergeCell ref="A12:I14"/>
    <mergeCell ref="J9:K9"/>
    <mergeCell ref="H9:I9"/>
    <mergeCell ref="F9:G9"/>
    <mergeCell ref="D9:E9"/>
    <mergeCell ref="B9:C9"/>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F61D6-F9AE-48F1-A8C0-BB4984A60354}">
  <dimension ref="A1:K38"/>
  <sheetViews>
    <sheetView topLeftCell="A27" workbookViewId="0">
      <selection activeCell="A43" sqref="A43"/>
    </sheetView>
  </sheetViews>
  <sheetFormatPr baseColWidth="10" defaultRowHeight="15.5"/>
  <cols>
    <col min="1" max="1" width="2.6328125" style="81" customWidth="1"/>
    <col min="2" max="11" width="9.6328125" style="81" customWidth="1"/>
    <col min="12" max="16384" width="10.90625" style="81"/>
  </cols>
  <sheetData>
    <row r="1" spans="1:11">
      <c r="A1" s="131" t="str">
        <f>CONCATENATE('Factor Sheet'!B7," ","- Victim ",'Factor Sheet'!A7)</f>
        <v>Injured Swimmer - Victim 6</v>
      </c>
      <c r="B1" s="132"/>
      <c r="C1" s="132"/>
      <c r="D1" s="132"/>
      <c r="E1" s="132"/>
      <c r="F1" s="132"/>
      <c r="G1" s="132"/>
      <c r="H1" s="132"/>
      <c r="I1" s="132"/>
      <c r="J1" s="132"/>
      <c r="K1" s="132"/>
    </row>
    <row r="2" spans="1:11">
      <c r="A2" s="81" t="s">
        <v>325</v>
      </c>
    </row>
    <row r="3" spans="1:11">
      <c r="A3" s="107" t="s">
        <v>292</v>
      </c>
      <c r="E3" s="107" t="s">
        <v>293</v>
      </c>
    </row>
    <row r="4" spans="1:11">
      <c r="G4" s="107" t="s">
        <v>294</v>
      </c>
    </row>
    <row r="5" spans="1:11">
      <c r="A5" s="108" t="str">
        <f>CONCATENATE("Victim: ",'Factor Sheet'!B7)</f>
        <v>Victim: Injured Swimmer</v>
      </c>
      <c r="B5" s="86"/>
      <c r="C5" s="86"/>
      <c r="D5" s="86"/>
      <c r="E5" s="86"/>
      <c r="F5" s="86"/>
      <c r="G5" s="86"/>
      <c r="H5" s="86"/>
      <c r="I5" s="86"/>
      <c r="J5" s="86"/>
      <c r="K5" s="93"/>
    </row>
    <row r="6" spans="1:11" ht="50" customHeight="1">
      <c r="A6" s="142" t="str">
        <f>VLOOKUP('Factor Sheet'!B7,'Drop Down Info'!A72:H79,2,FALSE)</f>
        <v>Victim will be complaining of a specific injury and will not be calmed.</v>
      </c>
      <c r="B6" s="143"/>
      <c r="C6" s="143"/>
      <c r="D6" s="143"/>
      <c r="E6" s="143"/>
      <c r="F6" s="143"/>
      <c r="G6" s="143"/>
      <c r="H6" s="143"/>
      <c r="I6" s="143"/>
      <c r="J6" s="143"/>
      <c r="K6" s="144"/>
    </row>
    <row r="7" spans="1:11">
      <c r="A7" s="108" t="s">
        <v>326</v>
      </c>
      <c r="B7" s="86"/>
      <c r="C7" s="86"/>
      <c r="D7" s="86"/>
      <c r="E7" s="86"/>
      <c r="F7" s="86"/>
      <c r="G7" s="86"/>
      <c r="H7" s="86"/>
      <c r="I7" s="86"/>
      <c r="J7" s="86"/>
      <c r="K7" s="93"/>
    </row>
    <row r="8" spans="1:11" ht="70" customHeight="1">
      <c r="A8" s="142" t="str">
        <f>VLOOKUP('Factor Sheet'!B7,'Drop Down Info'!A72:H79,3,FALSE)</f>
        <v>This is a medium priority victim requiring assistance. Rescuer should use an aid. Victim may not be able to hold an aid depending on the injury and may need assistance in the water and on landing. The victim should be removed carefully from the water with attention to the injured part of the body. They will not be cooperative.</v>
      </c>
      <c r="B8" s="136"/>
      <c r="C8" s="136"/>
      <c r="D8" s="136"/>
      <c r="E8" s="136"/>
      <c r="F8" s="136"/>
      <c r="G8" s="136"/>
      <c r="H8" s="136"/>
      <c r="I8" s="136"/>
      <c r="J8" s="136"/>
      <c r="K8" s="137"/>
    </row>
    <row r="9" spans="1:11">
      <c r="B9" s="127" t="s">
        <v>320</v>
      </c>
      <c r="C9" s="128"/>
      <c r="D9" s="127" t="s">
        <v>321</v>
      </c>
      <c r="E9" s="128"/>
      <c r="F9" s="127" t="s">
        <v>322</v>
      </c>
      <c r="G9" s="128"/>
      <c r="H9" s="127" t="s">
        <v>323</v>
      </c>
      <c r="I9" s="128"/>
      <c r="J9" s="127" t="s">
        <v>324</v>
      </c>
      <c r="K9" s="128"/>
    </row>
    <row r="10" spans="1:11">
      <c r="A10" s="138" t="s">
        <v>299</v>
      </c>
      <c r="B10" s="139"/>
      <c r="C10" s="139"/>
      <c r="D10" s="139"/>
      <c r="E10" s="139"/>
      <c r="F10" s="139"/>
      <c r="G10" s="139"/>
      <c r="H10" s="139"/>
      <c r="I10" s="140"/>
      <c r="J10" s="103" t="s">
        <v>300</v>
      </c>
      <c r="K10" s="104"/>
    </row>
    <row r="11" spans="1:11">
      <c r="A11" s="96" t="s">
        <v>137</v>
      </c>
      <c r="B11" s="86"/>
      <c r="C11" s="86"/>
      <c r="D11" s="86"/>
      <c r="E11" s="86"/>
      <c r="F11" s="86"/>
      <c r="G11" s="86"/>
      <c r="H11" s="86"/>
      <c r="I11" s="93"/>
      <c r="J11" s="97" t="s">
        <v>305</v>
      </c>
      <c r="K11" s="98">
        <v>1</v>
      </c>
    </row>
    <row r="12" spans="1:11">
      <c r="A12" s="141" t="str">
        <f>VLOOKUP('Factor Sheet'!B7,'Drop Down Info'!A72:H79,4,FALSE)</f>
        <v>Recognition that they are an injured swimmer and medium priority to mobilize
Safe approach by rescuer</v>
      </c>
      <c r="B12" s="136"/>
      <c r="C12" s="136"/>
      <c r="D12" s="136"/>
      <c r="E12" s="136"/>
      <c r="F12" s="136"/>
      <c r="G12" s="136"/>
      <c r="H12" s="136"/>
      <c r="I12" s="137"/>
      <c r="J12" s="99"/>
      <c r="K12" s="100"/>
    </row>
    <row r="13" spans="1:11">
      <c r="A13" s="141"/>
      <c r="B13" s="136"/>
      <c r="C13" s="136"/>
      <c r="D13" s="136"/>
      <c r="E13" s="136"/>
      <c r="F13" s="136"/>
      <c r="G13" s="136"/>
      <c r="H13" s="136"/>
      <c r="I13" s="137"/>
      <c r="J13" s="99"/>
      <c r="K13" s="100"/>
    </row>
    <row r="14" spans="1:11">
      <c r="A14" s="141"/>
      <c r="B14" s="136"/>
      <c r="C14" s="136"/>
      <c r="D14" s="136"/>
      <c r="E14" s="136"/>
      <c r="F14" s="136"/>
      <c r="G14" s="136"/>
      <c r="H14" s="136"/>
      <c r="I14" s="137"/>
      <c r="J14" s="99"/>
      <c r="K14" s="100"/>
    </row>
    <row r="15" spans="1:11">
      <c r="A15" s="87"/>
      <c r="B15" s="91"/>
      <c r="C15" s="91"/>
      <c r="D15" s="91"/>
      <c r="E15" s="91"/>
      <c r="F15" s="91"/>
      <c r="G15" s="91"/>
      <c r="H15" s="91"/>
      <c r="I15" s="95"/>
      <c r="J15" s="101"/>
      <c r="K15" s="102"/>
    </row>
    <row r="16" spans="1:11">
      <c r="A16" s="96" t="s">
        <v>48</v>
      </c>
      <c r="B16" s="86"/>
      <c r="C16" s="86"/>
      <c r="D16" s="86"/>
      <c r="E16" s="86"/>
      <c r="F16" s="86"/>
      <c r="G16" s="86"/>
      <c r="H16" s="86"/>
      <c r="I16" s="93"/>
      <c r="J16" s="97" t="s">
        <v>305</v>
      </c>
      <c r="K16" s="98">
        <v>1.5</v>
      </c>
    </row>
    <row r="17" spans="1:11">
      <c r="A17" s="141" t="str">
        <f>VLOOKUP('Factor Sheet'!B7,'Drop Down Info'!A72:H79,5,FALSE)</f>
        <v>Encourage to return to the edge with clear directions
Perform non-contact rescue
(low marks for contact rescue if not required – maximum 5 marks for this section)
Monitor while still in water; may require further directions/instructions</v>
      </c>
      <c r="B17" s="136"/>
      <c r="C17" s="136"/>
      <c r="D17" s="136"/>
      <c r="E17" s="136"/>
      <c r="F17" s="136"/>
      <c r="G17" s="136"/>
      <c r="H17" s="136"/>
      <c r="I17" s="137"/>
      <c r="J17" s="99"/>
      <c r="K17" s="100"/>
    </row>
    <row r="18" spans="1:11">
      <c r="A18" s="141"/>
      <c r="B18" s="136"/>
      <c r="C18" s="136"/>
      <c r="D18" s="136"/>
      <c r="E18" s="136"/>
      <c r="F18" s="136"/>
      <c r="G18" s="136"/>
      <c r="H18" s="136"/>
      <c r="I18" s="137"/>
      <c r="J18" s="99"/>
      <c r="K18" s="100"/>
    </row>
    <row r="19" spans="1:11">
      <c r="A19" s="141"/>
      <c r="B19" s="136"/>
      <c r="C19" s="136"/>
      <c r="D19" s="136"/>
      <c r="E19" s="136"/>
      <c r="F19" s="136"/>
      <c r="G19" s="136"/>
      <c r="H19" s="136"/>
      <c r="I19" s="137"/>
      <c r="J19" s="99"/>
      <c r="K19" s="100"/>
    </row>
    <row r="20" spans="1:11">
      <c r="A20" s="87"/>
      <c r="B20" s="91"/>
      <c r="C20" s="91"/>
      <c r="D20" s="91"/>
      <c r="E20" s="91"/>
      <c r="F20" s="91"/>
      <c r="G20" s="91"/>
      <c r="H20" s="91"/>
      <c r="I20" s="95"/>
      <c r="J20" s="101"/>
      <c r="K20" s="102"/>
    </row>
    <row r="21" spans="1:11">
      <c r="A21" s="96" t="s">
        <v>327</v>
      </c>
      <c r="B21" s="86"/>
      <c r="C21" s="86"/>
      <c r="D21" s="86"/>
      <c r="E21" s="86"/>
      <c r="F21" s="86"/>
      <c r="G21" s="86"/>
      <c r="H21" s="86"/>
      <c r="I21" s="93"/>
      <c r="J21" s="97" t="s">
        <v>305</v>
      </c>
      <c r="K21" s="98">
        <v>1.5</v>
      </c>
    </row>
    <row r="22" spans="1:11">
      <c r="A22" s="141" t="str">
        <f>VLOOKUP('Factor Sheet'!B7,'Drop Down Info'!A72:H79,6,FALSE)</f>
        <v>Effective communication / instruction
Reassurance throughout rescue</v>
      </c>
      <c r="B22" s="136"/>
      <c r="C22" s="136"/>
      <c r="D22" s="136"/>
      <c r="E22" s="136"/>
      <c r="F22" s="136"/>
      <c r="G22" s="136"/>
      <c r="H22" s="136"/>
      <c r="I22" s="137"/>
      <c r="J22" s="99"/>
      <c r="K22" s="100"/>
    </row>
    <row r="23" spans="1:11">
      <c r="A23" s="141"/>
      <c r="B23" s="136"/>
      <c r="C23" s="136"/>
      <c r="D23" s="136"/>
      <c r="E23" s="136"/>
      <c r="F23" s="136"/>
      <c r="G23" s="136"/>
      <c r="H23" s="136"/>
      <c r="I23" s="137"/>
      <c r="J23" s="99"/>
      <c r="K23" s="100"/>
    </row>
    <row r="24" spans="1:11">
      <c r="A24" s="141"/>
      <c r="B24" s="136"/>
      <c r="C24" s="136"/>
      <c r="D24" s="136"/>
      <c r="E24" s="136"/>
      <c r="F24" s="136"/>
      <c r="G24" s="136"/>
      <c r="H24" s="136"/>
      <c r="I24" s="137"/>
      <c r="J24" s="99"/>
      <c r="K24" s="100"/>
    </row>
    <row r="25" spans="1:11">
      <c r="A25" s="87"/>
      <c r="B25" s="91"/>
      <c r="C25" s="91"/>
      <c r="D25" s="91"/>
      <c r="E25" s="91"/>
      <c r="F25" s="91"/>
      <c r="G25" s="91"/>
      <c r="H25" s="91"/>
      <c r="I25" s="95"/>
      <c r="J25" s="101"/>
      <c r="K25" s="102"/>
    </row>
    <row r="26" spans="1:11">
      <c r="A26" s="96" t="s">
        <v>50</v>
      </c>
      <c r="B26" s="86"/>
      <c r="C26" s="86"/>
      <c r="D26" s="86"/>
      <c r="E26" s="86"/>
      <c r="F26" s="86"/>
      <c r="G26" s="86"/>
      <c r="H26" s="86"/>
      <c r="I26" s="93"/>
      <c r="J26" s="97" t="s">
        <v>305</v>
      </c>
      <c r="K26" s="98">
        <v>1.25</v>
      </c>
    </row>
    <row r="27" spans="1:11">
      <c r="A27" s="141" t="str">
        <f>VLOOKUP('Factor Sheet'!B7,'Drop Down Info'!A72:H79,7,FALSE)</f>
        <v>Careful removal from water with attention to injury
Make secure and land (monitor while still in water; may require further directions/instructions)
Appropriate landing for size and strength of rescuer</v>
      </c>
      <c r="B27" s="136"/>
      <c r="C27" s="136"/>
      <c r="D27" s="136"/>
      <c r="E27" s="136"/>
      <c r="F27" s="136"/>
      <c r="G27" s="136"/>
      <c r="H27" s="136"/>
      <c r="I27" s="137"/>
      <c r="J27" s="99"/>
      <c r="K27" s="100"/>
    </row>
    <row r="28" spans="1:11">
      <c r="A28" s="141"/>
      <c r="B28" s="136"/>
      <c r="C28" s="136"/>
      <c r="D28" s="136"/>
      <c r="E28" s="136"/>
      <c r="F28" s="136"/>
      <c r="G28" s="136"/>
      <c r="H28" s="136"/>
      <c r="I28" s="137"/>
      <c r="J28" s="99"/>
      <c r="K28" s="100"/>
    </row>
    <row r="29" spans="1:11">
      <c r="A29" s="141"/>
      <c r="B29" s="136"/>
      <c r="C29" s="136"/>
      <c r="D29" s="136"/>
      <c r="E29" s="136"/>
      <c r="F29" s="136"/>
      <c r="G29" s="136"/>
      <c r="H29" s="136"/>
      <c r="I29" s="137"/>
      <c r="J29" s="99"/>
      <c r="K29" s="100"/>
    </row>
    <row r="30" spans="1:11">
      <c r="A30" s="87"/>
      <c r="B30" s="91"/>
      <c r="C30" s="91"/>
      <c r="D30" s="91"/>
      <c r="E30" s="91"/>
      <c r="F30" s="91"/>
      <c r="G30" s="91"/>
      <c r="H30" s="91"/>
      <c r="I30" s="95"/>
      <c r="J30" s="101"/>
      <c r="K30" s="102"/>
    </row>
    <row r="31" spans="1:11">
      <c r="A31" s="96" t="s">
        <v>51</v>
      </c>
      <c r="B31" s="86"/>
      <c r="C31" s="86"/>
      <c r="D31" s="86"/>
      <c r="E31" s="86"/>
      <c r="F31" s="86"/>
      <c r="G31" s="86"/>
      <c r="H31" s="86"/>
      <c r="I31" s="93"/>
      <c r="J31" s="97" t="s">
        <v>305</v>
      </c>
      <c r="K31" s="98">
        <v>1.25</v>
      </c>
    </row>
    <row r="32" spans="1:11">
      <c r="A32" s="141" t="str">
        <f>VLOOKUP('Factor Sheet'!B7,'Drop Down Info'!A72:H79,8,FALSE)</f>
        <v>Safe position away from the edge; warmth and protection where possible; monitor safety; ongoing monitoring and care</v>
      </c>
      <c r="B32" s="136"/>
      <c r="C32" s="136"/>
      <c r="D32" s="136"/>
      <c r="E32" s="136"/>
      <c r="F32" s="136"/>
      <c r="G32" s="136"/>
      <c r="H32" s="136"/>
      <c r="I32" s="137"/>
      <c r="J32" s="99"/>
      <c r="K32" s="100"/>
    </row>
    <row r="33" spans="1:11">
      <c r="A33" s="141"/>
      <c r="B33" s="136"/>
      <c r="C33" s="136"/>
      <c r="D33" s="136"/>
      <c r="E33" s="136"/>
      <c r="F33" s="136"/>
      <c r="G33" s="136"/>
      <c r="H33" s="136"/>
      <c r="I33" s="137"/>
      <c r="J33" s="99"/>
      <c r="K33" s="100"/>
    </row>
    <row r="34" spans="1:11">
      <c r="A34" s="141"/>
      <c r="B34" s="136"/>
      <c r="C34" s="136"/>
      <c r="D34" s="136"/>
      <c r="E34" s="136"/>
      <c r="F34" s="136"/>
      <c r="G34" s="136"/>
      <c r="H34" s="136"/>
      <c r="I34" s="137"/>
      <c r="J34" s="99"/>
      <c r="K34" s="100"/>
    </row>
    <row r="35" spans="1:11">
      <c r="A35" s="87"/>
      <c r="B35" s="91"/>
      <c r="C35" s="91"/>
      <c r="D35" s="91"/>
      <c r="E35" s="91"/>
      <c r="F35" s="91"/>
      <c r="G35" s="91"/>
      <c r="H35" s="91"/>
      <c r="I35" s="95"/>
      <c r="J35" s="101"/>
      <c r="K35" s="102"/>
    </row>
    <row r="36" spans="1:11" ht="35" customHeight="1">
      <c r="A36" s="145" t="s">
        <v>318</v>
      </c>
      <c r="B36" s="146"/>
      <c r="C36" s="146"/>
      <c r="D36" s="146"/>
      <c r="E36" s="146"/>
      <c r="F36" s="146"/>
      <c r="G36" s="146"/>
      <c r="H36" s="146"/>
      <c r="I36" s="147"/>
      <c r="J36" s="105"/>
      <c r="K36" s="106"/>
    </row>
    <row r="37" spans="1:11">
      <c r="I37" s="129" t="s">
        <v>319</v>
      </c>
      <c r="J37" s="85"/>
      <c r="K37" s="93"/>
    </row>
    <row r="38" spans="1:11">
      <c r="I38" s="130"/>
      <c r="J38" s="87"/>
      <c r="K38" s="95"/>
    </row>
  </sheetData>
  <mergeCells count="16">
    <mergeCell ref="I37:I38"/>
    <mergeCell ref="A22:I24"/>
    <mergeCell ref="A27:I29"/>
    <mergeCell ref="A32:I34"/>
    <mergeCell ref="A36:I36"/>
    <mergeCell ref="A17:I19"/>
    <mergeCell ref="A1:K1"/>
    <mergeCell ref="A6:K6"/>
    <mergeCell ref="A8:K8"/>
    <mergeCell ref="A10:I10"/>
    <mergeCell ref="A12:I14"/>
    <mergeCell ref="J9:K9"/>
    <mergeCell ref="H9:I9"/>
    <mergeCell ref="F9:G9"/>
    <mergeCell ref="D9:E9"/>
    <mergeCell ref="B9:C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AB9BF-80DF-4FBE-9B89-0CAFB396C87C}">
  <dimension ref="A1:K38"/>
  <sheetViews>
    <sheetView topLeftCell="A27" workbookViewId="0">
      <selection activeCell="A43" sqref="A43"/>
    </sheetView>
  </sheetViews>
  <sheetFormatPr baseColWidth="10" defaultRowHeight="15.5"/>
  <cols>
    <col min="1" max="1" width="2.6328125" style="81" customWidth="1"/>
    <col min="2" max="11" width="9.6328125" style="81" customWidth="1"/>
    <col min="12" max="16384" width="10.90625" style="81"/>
  </cols>
  <sheetData>
    <row r="1" spans="1:11">
      <c r="A1" s="131" t="str">
        <f>CONCATENATE('Factor Sheet'!B8," ","- Victim ",'Factor Sheet'!A8)</f>
        <v>Injured Swimmer - Victim 7</v>
      </c>
      <c r="B1" s="132"/>
      <c r="C1" s="132"/>
      <c r="D1" s="132"/>
      <c r="E1" s="132"/>
      <c r="F1" s="132"/>
      <c r="G1" s="132"/>
      <c r="H1" s="132"/>
      <c r="I1" s="132"/>
      <c r="J1" s="132"/>
      <c r="K1" s="132"/>
    </row>
    <row r="2" spans="1:11">
      <c r="A2" s="81" t="s">
        <v>325</v>
      </c>
    </row>
    <row r="3" spans="1:11">
      <c r="A3" s="107" t="s">
        <v>292</v>
      </c>
      <c r="E3" s="107" t="s">
        <v>293</v>
      </c>
    </row>
    <row r="4" spans="1:11">
      <c r="G4" s="107" t="s">
        <v>294</v>
      </c>
    </row>
    <row r="5" spans="1:11">
      <c r="A5" s="108" t="str">
        <f>CONCATENATE("Victim: ",'Factor Sheet'!B8)</f>
        <v>Victim: Injured Swimmer</v>
      </c>
      <c r="B5" s="86"/>
      <c r="C5" s="86"/>
      <c r="D5" s="86"/>
      <c r="E5" s="86"/>
      <c r="F5" s="86"/>
      <c r="G5" s="86"/>
      <c r="H5" s="86"/>
      <c r="I5" s="86"/>
      <c r="J5" s="86"/>
      <c r="K5" s="93"/>
    </row>
    <row r="6" spans="1:11" ht="50" customHeight="1">
      <c r="A6" s="142" t="str">
        <f>VLOOKUP('Factor Sheet'!B8,'Drop Down Info'!A72:H79,2,FALSE)</f>
        <v>Victim will be complaining of a specific injury and will not be calmed.</v>
      </c>
      <c r="B6" s="143"/>
      <c r="C6" s="143"/>
      <c r="D6" s="143"/>
      <c r="E6" s="143"/>
      <c r="F6" s="143"/>
      <c r="G6" s="143"/>
      <c r="H6" s="143"/>
      <c r="I6" s="143"/>
      <c r="J6" s="143"/>
      <c r="K6" s="144"/>
    </row>
    <row r="7" spans="1:11">
      <c r="A7" s="108" t="s">
        <v>326</v>
      </c>
      <c r="B7" s="86"/>
      <c r="C7" s="86"/>
      <c r="D7" s="86"/>
      <c r="E7" s="86"/>
      <c r="F7" s="86"/>
      <c r="G7" s="86"/>
      <c r="H7" s="86"/>
      <c r="I7" s="86"/>
      <c r="J7" s="86"/>
      <c r="K7" s="93"/>
    </row>
    <row r="8" spans="1:11" ht="70" customHeight="1">
      <c r="A8" s="142" t="str">
        <f>VLOOKUP('Factor Sheet'!B8,'Drop Down Info'!A72:H79,3,FALSE)</f>
        <v>This is a medium priority victim requiring assistance. Rescuer should use an aid. Victim may not be able to hold an aid depending on the injury and may need assistance in the water and on landing. The victim should be removed carefully from the water with attention to the injured part of the body. They will not be cooperative.</v>
      </c>
      <c r="B8" s="136"/>
      <c r="C8" s="136"/>
      <c r="D8" s="136"/>
      <c r="E8" s="136"/>
      <c r="F8" s="136"/>
      <c r="G8" s="136"/>
      <c r="H8" s="136"/>
      <c r="I8" s="136"/>
      <c r="J8" s="136"/>
      <c r="K8" s="137"/>
    </row>
    <row r="9" spans="1:11">
      <c r="B9" s="127" t="s">
        <v>320</v>
      </c>
      <c r="C9" s="128"/>
      <c r="D9" s="127" t="s">
        <v>321</v>
      </c>
      <c r="E9" s="128"/>
      <c r="F9" s="127" t="s">
        <v>322</v>
      </c>
      <c r="G9" s="128"/>
      <c r="H9" s="127" t="s">
        <v>323</v>
      </c>
      <c r="I9" s="128"/>
      <c r="J9" s="127" t="s">
        <v>324</v>
      </c>
      <c r="K9" s="128"/>
    </row>
    <row r="10" spans="1:11">
      <c r="A10" s="138" t="s">
        <v>299</v>
      </c>
      <c r="B10" s="139"/>
      <c r="C10" s="139"/>
      <c r="D10" s="139"/>
      <c r="E10" s="139"/>
      <c r="F10" s="139"/>
      <c r="G10" s="139"/>
      <c r="H10" s="139"/>
      <c r="I10" s="140"/>
      <c r="J10" s="103" t="s">
        <v>300</v>
      </c>
      <c r="K10" s="104"/>
    </row>
    <row r="11" spans="1:11">
      <c r="A11" s="96" t="s">
        <v>137</v>
      </c>
      <c r="B11" s="86"/>
      <c r="C11" s="86"/>
      <c r="D11" s="86"/>
      <c r="E11" s="86"/>
      <c r="F11" s="86"/>
      <c r="G11" s="86"/>
      <c r="H11" s="86"/>
      <c r="I11" s="93"/>
      <c r="J11" s="97" t="s">
        <v>305</v>
      </c>
      <c r="K11" s="98">
        <v>1.5</v>
      </c>
    </row>
    <row r="12" spans="1:11">
      <c r="A12" s="141" t="str">
        <f>VLOOKUP('Factor Sheet'!B8,'Drop Down Info'!A72:H79,4,FALSE)</f>
        <v>Recognition that they are an injured swimmer and medium priority to mobilize
Safe approach by rescuer</v>
      </c>
      <c r="B12" s="136"/>
      <c r="C12" s="136"/>
      <c r="D12" s="136"/>
      <c r="E12" s="136"/>
      <c r="F12" s="136"/>
      <c r="G12" s="136"/>
      <c r="H12" s="136"/>
      <c r="I12" s="137"/>
      <c r="J12" s="99"/>
      <c r="K12" s="100"/>
    </row>
    <row r="13" spans="1:11">
      <c r="A13" s="141"/>
      <c r="B13" s="136"/>
      <c r="C13" s="136"/>
      <c r="D13" s="136"/>
      <c r="E13" s="136"/>
      <c r="F13" s="136"/>
      <c r="G13" s="136"/>
      <c r="H13" s="136"/>
      <c r="I13" s="137"/>
      <c r="J13" s="99"/>
      <c r="K13" s="100"/>
    </row>
    <row r="14" spans="1:11">
      <c r="A14" s="141"/>
      <c r="B14" s="136"/>
      <c r="C14" s="136"/>
      <c r="D14" s="136"/>
      <c r="E14" s="136"/>
      <c r="F14" s="136"/>
      <c r="G14" s="136"/>
      <c r="H14" s="136"/>
      <c r="I14" s="137"/>
      <c r="J14" s="99"/>
      <c r="K14" s="100"/>
    </row>
    <row r="15" spans="1:11">
      <c r="A15" s="87"/>
      <c r="B15" s="91"/>
      <c r="C15" s="91"/>
      <c r="D15" s="91"/>
      <c r="E15" s="91"/>
      <c r="F15" s="91"/>
      <c r="G15" s="91"/>
      <c r="H15" s="91"/>
      <c r="I15" s="95"/>
      <c r="J15" s="101"/>
      <c r="K15" s="102"/>
    </row>
    <row r="16" spans="1:11">
      <c r="A16" s="96" t="s">
        <v>48</v>
      </c>
      <c r="B16" s="86"/>
      <c r="C16" s="86"/>
      <c r="D16" s="86"/>
      <c r="E16" s="86"/>
      <c r="F16" s="86"/>
      <c r="G16" s="86"/>
      <c r="H16" s="86"/>
      <c r="I16" s="93"/>
      <c r="J16" s="97" t="s">
        <v>305</v>
      </c>
      <c r="K16" s="98">
        <v>1</v>
      </c>
    </row>
    <row r="17" spans="1:11">
      <c r="A17" s="141" t="str">
        <f>VLOOKUP('Factor Sheet'!B8,'Drop Down Info'!A72:H79,5,FALSE)</f>
        <v>Encourage to return to the edge with clear directions
Perform non-contact rescue
(low marks for contact rescue if not required – maximum 5 marks for this section)
Monitor while still in water; may require further directions/instructions</v>
      </c>
      <c r="B17" s="136"/>
      <c r="C17" s="136"/>
      <c r="D17" s="136"/>
      <c r="E17" s="136"/>
      <c r="F17" s="136"/>
      <c r="G17" s="136"/>
      <c r="H17" s="136"/>
      <c r="I17" s="137"/>
      <c r="J17" s="99"/>
      <c r="K17" s="100"/>
    </row>
    <row r="18" spans="1:11">
      <c r="A18" s="141"/>
      <c r="B18" s="136"/>
      <c r="C18" s="136"/>
      <c r="D18" s="136"/>
      <c r="E18" s="136"/>
      <c r="F18" s="136"/>
      <c r="G18" s="136"/>
      <c r="H18" s="136"/>
      <c r="I18" s="137"/>
      <c r="J18" s="99"/>
      <c r="K18" s="100"/>
    </row>
    <row r="19" spans="1:11">
      <c r="A19" s="141"/>
      <c r="B19" s="136"/>
      <c r="C19" s="136"/>
      <c r="D19" s="136"/>
      <c r="E19" s="136"/>
      <c r="F19" s="136"/>
      <c r="G19" s="136"/>
      <c r="H19" s="136"/>
      <c r="I19" s="137"/>
      <c r="J19" s="99"/>
      <c r="K19" s="100"/>
    </row>
    <row r="20" spans="1:11">
      <c r="A20" s="87"/>
      <c r="B20" s="91"/>
      <c r="C20" s="91"/>
      <c r="D20" s="91"/>
      <c r="E20" s="91"/>
      <c r="F20" s="91"/>
      <c r="G20" s="91"/>
      <c r="H20" s="91"/>
      <c r="I20" s="95"/>
      <c r="J20" s="101"/>
      <c r="K20" s="102"/>
    </row>
    <row r="21" spans="1:11">
      <c r="A21" s="96" t="s">
        <v>327</v>
      </c>
      <c r="B21" s="86"/>
      <c r="C21" s="86"/>
      <c r="D21" s="86"/>
      <c r="E21" s="86"/>
      <c r="F21" s="86"/>
      <c r="G21" s="86"/>
      <c r="H21" s="86"/>
      <c r="I21" s="93"/>
      <c r="J21" s="97" t="s">
        <v>305</v>
      </c>
      <c r="K21" s="98">
        <v>1</v>
      </c>
    </row>
    <row r="22" spans="1:11">
      <c r="A22" s="141" t="str">
        <f>VLOOKUP('Factor Sheet'!B8,'Drop Down Info'!A72:H79,6,FALSE)</f>
        <v>Effective communication / instruction
Reassurance throughout rescue</v>
      </c>
      <c r="B22" s="136"/>
      <c r="C22" s="136"/>
      <c r="D22" s="136"/>
      <c r="E22" s="136"/>
      <c r="F22" s="136"/>
      <c r="G22" s="136"/>
      <c r="H22" s="136"/>
      <c r="I22" s="137"/>
      <c r="J22" s="99"/>
      <c r="K22" s="100"/>
    </row>
    <row r="23" spans="1:11">
      <c r="A23" s="141"/>
      <c r="B23" s="136"/>
      <c r="C23" s="136"/>
      <c r="D23" s="136"/>
      <c r="E23" s="136"/>
      <c r="F23" s="136"/>
      <c r="G23" s="136"/>
      <c r="H23" s="136"/>
      <c r="I23" s="137"/>
      <c r="J23" s="99"/>
      <c r="K23" s="100"/>
    </row>
    <row r="24" spans="1:11">
      <c r="A24" s="141"/>
      <c r="B24" s="136"/>
      <c r="C24" s="136"/>
      <c r="D24" s="136"/>
      <c r="E24" s="136"/>
      <c r="F24" s="136"/>
      <c r="G24" s="136"/>
      <c r="H24" s="136"/>
      <c r="I24" s="137"/>
      <c r="J24" s="99"/>
      <c r="K24" s="100"/>
    </row>
    <row r="25" spans="1:11">
      <c r="A25" s="87"/>
      <c r="B25" s="91"/>
      <c r="C25" s="91"/>
      <c r="D25" s="91"/>
      <c r="E25" s="91"/>
      <c r="F25" s="91"/>
      <c r="G25" s="91"/>
      <c r="H25" s="91"/>
      <c r="I25" s="95"/>
      <c r="J25" s="101"/>
      <c r="K25" s="102"/>
    </row>
    <row r="26" spans="1:11">
      <c r="A26" s="96" t="s">
        <v>50</v>
      </c>
      <c r="B26" s="86"/>
      <c r="C26" s="86"/>
      <c r="D26" s="86"/>
      <c r="E26" s="86"/>
      <c r="F26" s="86"/>
      <c r="G26" s="86"/>
      <c r="H26" s="86"/>
      <c r="I26" s="93"/>
      <c r="J26" s="97" t="s">
        <v>305</v>
      </c>
      <c r="K26" s="98">
        <v>1.25</v>
      </c>
    </row>
    <row r="27" spans="1:11">
      <c r="A27" s="141" t="str">
        <f>VLOOKUP('Factor Sheet'!B8,'Drop Down Info'!A72:H79,7,FALSE)</f>
        <v>Careful removal from water with attention to injury
Make secure and land (monitor while still in water; may require further directions/instructions)
Appropriate landing for size and strength of rescuer</v>
      </c>
      <c r="B27" s="136"/>
      <c r="C27" s="136"/>
      <c r="D27" s="136"/>
      <c r="E27" s="136"/>
      <c r="F27" s="136"/>
      <c r="G27" s="136"/>
      <c r="H27" s="136"/>
      <c r="I27" s="137"/>
      <c r="J27" s="99"/>
      <c r="K27" s="100"/>
    </row>
    <row r="28" spans="1:11">
      <c r="A28" s="141"/>
      <c r="B28" s="136"/>
      <c r="C28" s="136"/>
      <c r="D28" s="136"/>
      <c r="E28" s="136"/>
      <c r="F28" s="136"/>
      <c r="G28" s="136"/>
      <c r="H28" s="136"/>
      <c r="I28" s="137"/>
      <c r="J28" s="99"/>
      <c r="K28" s="100"/>
    </row>
    <row r="29" spans="1:11">
      <c r="A29" s="141"/>
      <c r="B29" s="136"/>
      <c r="C29" s="136"/>
      <c r="D29" s="136"/>
      <c r="E29" s="136"/>
      <c r="F29" s="136"/>
      <c r="G29" s="136"/>
      <c r="H29" s="136"/>
      <c r="I29" s="137"/>
      <c r="J29" s="99"/>
      <c r="K29" s="100"/>
    </row>
    <row r="30" spans="1:11">
      <c r="A30" s="87"/>
      <c r="B30" s="91"/>
      <c r="C30" s="91"/>
      <c r="D30" s="91"/>
      <c r="E30" s="91"/>
      <c r="F30" s="91"/>
      <c r="G30" s="91"/>
      <c r="H30" s="91"/>
      <c r="I30" s="95"/>
      <c r="J30" s="101"/>
      <c r="K30" s="102"/>
    </row>
    <row r="31" spans="1:11">
      <c r="A31" s="96" t="s">
        <v>51</v>
      </c>
      <c r="B31" s="86"/>
      <c r="C31" s="86"/>
      <c r="D31" s="86"/>
      <c r="E31" s="86"/>
      <c r="F31" s="86"/>
      <c r="G31" s="86"/>
      <c r="H31" s="86"/>
      <c r="I31" s="93"/>
      <c r="J31" s="97" t="s">
        <v>305</v>
      </c>
      <c r="K31" s="98">
        <v>1.25</v>
      </c>
    </row>
    <row r="32" spans="1:11">
      <c r="A32" s="141" t="str">
        <f>VLOOKUP('Factor Sheet'!B8,'Drop Down Info'!A72:H79,8,FALSE)</f>
        <v>Safe position away from the edge; warmth and protection where possible; monitor safety; ongoing monitoring and care</v>
      </c>
      <c r="B32" s="136"/>
      <c r="C32" s="136"/>
      <c r="D32" s="136"/>
      <c r="E32" s="136"/>
      <c r="F32" s="136"/>
      <c r="G32" s="136"/>
      <c r="H32" s="136"/>
      <c r="I32" s="137"/>
      <c r="J32" s="99"/>
      <c r="K32" s="100"/>
    </row>
    <row r="33" spans="1:11">
      <c r="A33" s="141"/>
      <c r="B33" s="136"/>
      <c r="C33" s="136"/>
      <c r="D33" s="136"/>
      <c r="E33" s="136"/>
      <c r="F33" s="136"/>
      <c r="G33" s="136"/>
      <c r="H33" s="136"/>
      <c r="I33" s="137"/>
      <c r="J33" s="99"/>
      <c r="K33" s="100"/>
    </row>
    <row r="34" spans="1:11">
      <c r="A34" s="141"/>
      <c r="B34" s="136"/>
      <c r="C34" s="136"/>
      <c r="D34" s="136"/>
      <c r="E34" s="136"/>
      <c r="F34" s="136"/>
      <c r="G34" s="136"/>
      <c r="H34" s="136"/>
      <c r="I34" s="137"/>
      <c r="J34" s="99"/>
      <c r="K34" s="100"/>
    </row>
    <row r="35" spans="1:11">
      <c r="A35" s="87"/>
      <c r="B35" s="91"/>
      <c r="C35" s="91"/>
      <c r="D35" s="91"/>
      <c r="E35" s="91"/>
      <c r="F35" s="91"/>
      <c r="G35" s="91"/>
      <c r="H35" s="91"/>
      <c r="I35" s="95"/>
      <c r="J35" s="101"/>
      <c r="K35" s="102"/>
    </row>
    <row r="36" spans="1:11" ht="35" customHeight="1">
      <c r="A36" s="145" t="s">
        <v>318</v>
      </c>
      <c r="B36" s="146"/>
      <c r="C36" s="146"/>
      <c r="D36" s="146"/>
      <c r="E36" s="146"/>
      <c r="F36" s="146"/>
      <c r="G36" s="146"/>
      <c r="H36" s="146"/>
      <c r="I36" s="147"/>
      <c r="J36" s="105"/>
      <c r="K36" s="106"/>
    </row>
    <row r="37" spans="1:11">
      <c r="I37" s="129" t="s">
        <v>319</v>
      </c>
      <c r="J37" s="85"/>
      <c r="K37" s="93"/>
    </row>
    <row r="38" spans="1:11">
      <c r="I38" s="130"/>
      <c r="J38" s="87"/>
      <c r="K38" s="95"/>
    </row>
  </sheetData>
  <mergeCells count="16">
    <mergeCell ref="I37:I38"/>
    <mergeCell ref="A22:I24"/>
    <mergeCell ref="A27:I29"/>
    <mergeCell ref="A32:I34"/>
    <mergeCell ref="A36:I36"/>
    <mergeCell ref="A17:I19"/>
    <mergeCell ref="A1:K1"/>
    <mergeCell ref="A6:K6"/>
    <mergeCell ref="A8:K8"/>
    <mergeCell ref="A10:I10"/>
    <mergeCell ref="A12:I14"/>
    <mergeCell ref="J9:K9"/>
    <mergeCell ref="H9:I9"/>
    <mergeCell ref="F9:G9"/>
    <mergeCell ref="D9:E9"/>
    <mergeCell ref="B9:C9"/>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B2E0E-6862-46B6-AC3F-87CCE80D3D3C}">
  <dimension ref="A1:K38"/>
  <sheetViews>
    <sheetView topLeftCell="A27" workbookViewId="0">
      <selection activeCell="A43" sqref="A43"/>
    </sheetView>
  </sheetViews>
  <sheetFormatPr baseColWidth="10" defaultRowHeight="15.5"/>
  <cols>
    <col min="1" max="1" width="2.6328125" style="81" customWidth="1"/>
    <col min="2" max="11" width="9.6328125" style="81" customWidth="1"/>
    <col min="12" max="16384" width="10.90625" style="81"/>
  </cols>
  <sheetData>
    <row r="1" spans="1:11">
      <c r="A1" s="131" t="str">
        <f>CONCATENATE('Factor Sheet'!B9," ","- Victim ",'Factor Sheet'!A9)</f>
        <v>Injured Swimmer - Victim 8</v>
      </c>
      <c r="B1" s="132"/>
      <c r="C1" s="132"/>
      <c r="D1" s="132"/>
      <c r="E1" s="132"/>
      <c r="F1" s="132"/>
      <c r="G1" s="132"/>
      <c r="H1" s="132"/>
      <c r="I1" s="132"/>
      <c r="J1" s="132"/>
      <c r="K1" s="132"/>
    </row>
    <row r="2" spans="1:11">
      <c r="A2" s="81" t="s">
        <v>325</v>
      </c>
    </row>
    <row r="3" spans="1:11">
      <c r="A3" s="107" t="s">
        <v>292</v>
      </c>
      <c r="E3" s="107" t="s">
        <v>293</v>
      </c>
    </row>
    <row r="4" spans="1:11">
      <c r="G4" s="107" t="s">
        <v>294</v>
      </c>
    </row>
    <row r="5" spans="1:11">
      <c r="A5" s="108" t="str">
        <f>CONCATENATE("Victim: ",'Factor Sheet'!B9)</f>
        <v>Victim: Injured Swimmer</v>
      </c>
      <c r="B5" s="86"/>
      <c r="C5" s="86"/>
      <c r="D5" s="86"/>
      <c r="E5" s="86"/>
      <c r="F5" s="86"/>
      <c r="G5" s="86"/>
      <c r="H5" s="86"/>
      <c r="I5" s="86"/>
      <c r="J5" s="86"/>
      <c r="K5" s="93"/>
    </row>
    <row r="6" spans="1:11" ht="50" customHeight="1">
      <c r="A6" s="142" t="str">
        <f>VLOOKUP('Factor Sheet'!B9,'Drop Down Info'!A72:H79,2,FALSE)</f>
        <v>Victim will be complaining of a specific injury and will not be calmed.</v>
      </c>
      <c r="B6" s="143"/>
      <c r="C6" s="143"/>
      <c r="D6" s="143"/>
      <c r="E6" s="143"/>
      <c r="F6" s="143"/>
      <c r="G6" s="143"/>
      <c r="H6" s="143"/>
      <c r="I6" s="143"/>
      <c r="J6" s="143"/>
      <c r="K6" s="144"/>
    </row>
    <row r="7" spans="1:11">
      <c r="A7" s="108" t="s">
        <v>326</v>
      </c>
      <c r="B7" s="86"/>
      <c r="C7" s="86"/>
      <c r="D7" s="86"/>
      <c r="E7" s="86"/>
      <c r="F7" s="86"/>
      <c r="G7" s="86"/>
      <c r="H7" s="86"/>
      <c r="I7" s="86"/>
      <c r="J7" s="86"/>
      <c r="K7" s="93"/>
    </row>
    <row r="8" spans="1:11" ht="70" customHeight="1">
      <c r="A8" s="142" t="str">
        <f>VLOOKUP('Factor Sheet'!B9,'Drop Down Info'!A72:H79,3,FALSE)</f>
        <v>This is a medium priority victim requiring assistance. Rescuer should use an aid. Victim may not be able to hold an aid depending on the injury and may need assistance in the water and on landing. The victim should be removed carefully from the water with attention to the injured part of the body. They will not be cooperative.</v>
      </c>
      <c r="B8" s="136"/>
      <c r="C8" s="136"/>
      <c r="D8" s="136"/>
      <c r="E8" s="136"/>
      <c r="F8" s="136"/>
      <c r="G8" s="136"/>
      <c r="H8" s="136"/>
      <c r="I8" s="136"/>
      <c r="J8" s="136"/>
      <c r="K8" s="137"/>
    </row>
    <row r="9" spans="1:11">
      <c r="B9" s="127" t="s">
        <v>320</v>
      </c>
      <c r="C9" s="128"/>
      <c r="D9" s="127" t="s">
        <v>321</v>
      </c>
      <c r="E9" s="128"/>
      <c r="F9" s="127" t="s">
        <v>322</v>
      </c>
      <c r="G9" s="128"/>
      <c r="H9" s="127" t="s">
        <v>323</v>
      </c>
      <c r="I9" s="128"/>
      <c r="J9" s="127" t="s">
        <v>324</v>
      </c>
      <c r="K9" s="128"/>
    </row>
    <row r="10" spans="1:11">
      <c r="A10" s="138" t="s">
        <v>299</v>
      </c>
      <c r="B10" s="139"/>
      <c r="C10" s="139"/>
      <c r="D10" s="139"/>
      <c r="E10" s="139"/>
      <c r="F10" s="139"/>
      <c r="G10" s="139"/>
      <c r="H10" s="139"/>
      <c r="I10" s="140"/>
      <c r="J10" s="103" t="s">
        <v>300</v>
      </c>
      <c r="K10" s="104"/>
    </row>
    <row r="11" spans="1:11">
      <c r="A11" s="96" t="s">
        <v>137</v>
      </c>
      <c r="B11" s="86"/>
      <c r="C11" s="86"/>
      <c r="D11" s="86"/>
      <c r="E11" s="86"/>
      <c r="F11" s="86"/>
      <c r="G11" s="86"/>
      <c r="H11" s="86"/>
      <c r="I11" s="93"/>
      <c r="J11" s="97" t="s">
        <v>305</v>
      </c>
      <c r="K11" s="98">
        <v>1.25</v>
      </c>
    </row>
    <row r="12" spans="1:11">
      <c r="A12" s="141" t="str">
        <f>VLOOKUP('Factor Sheet'!B9,'Drop Down Info'!A72:H79,4,FALSE)</f>
        <v>Recognition that they are an injured swimmer and medium priority to mobilize
Safe approach by rescuer</v>
      </c>
      <c r="B12" s="136"/>
      <c r="C12" s="136"/>
      <c r="D12" s="136"/>
      <c r="E12" s="136"/>
      <c r="F12" s="136"/>
      <c r="G12" s="136"/>
      <c r="H12" s="136"/>
      <c r="I12" s="137"/>
      <c r="J12" s="99"/>
      <c r="K12" s="100"/>
    </row>
    <row r="13" spans="1:11">
      <c r="A13" s="141"/>
      <c r="B13" s="136"/>
      <c r="C13" s="136"/>
      <c r="D13" s="136"/>
      <c r="E13" s="136"/>
      <c r="F13" s="136"/>
      <c r="G13" s="136"/>
      <c r="H13" s="136"/>
      <c r="I13" s="137"/>
      <c r="J13" s="99"/>
      <c r="K13" s="100"/>
    </row>
    <row r="14" spans="1:11">
      <c r="A14" s="141"/>
      <c r="B14" s="136"/>
      <c r="C14" s="136"/>
      <c r="D14" s="136"/>
      <c r="E14" s="136"/>
      <c r="F14" s="136"/>
      <c r="G14" s="136"/>
      <c r="H14" s="136"/>
      <c r="I14" s="137"/>
      <c r="J14" s="99"/>
      <c r="K14" s="100"/>
    </row>
    <row r="15" spans="1:11">
      <c r="A15" s="87"/>
      <c r="B15" s="91"/>
      <c r="C15" s="91"/>
      <c r="D15" s="91"/>
      <c r="E15" s="91"/>
      <c r="F15" s="91"/>
      <c r="G15" s="91"/>
      <c r="H15" s="91"/>
      <c r="I15" s="95"/>
      <c r="J15" s="101"/>
      <c r="K15" s="102"/>
    </row>
    <row r="16" spans="1:11">
      <c r="A16" s="96" t="s">
        <v>48</v>
      </c>
      <c r="B16" s="86"/>
      <c r="C16" s="86"/>
      <c r="D16" s="86"/>
      <c r="E16" s="86"/>
      <c r="F16" s="86"/>
      <c r="G16" s="86"/>
      <c r="H16" s="86"/>
      <c r="I16" s="93"/>
      <c r="J16" s="97" t="s">
        <v>305</v>
      </c>
      <c r="K16" s="98">
        <v>1</v>
      </c>
    </row>
    <row r="17" spans="1:11">
      <c r="A17" s="141" t="str">
        <f>VLOOKUP('Factor Sheet'!B9,'Drop Down Info'!A72:H79,5,FALSE)</f>
        <v>Encourage to return to the edge with clear directions
Perform non-contact rescue
(low marks for contact rescue if not required – maximum 5 marks for this section)
Monitor while still in water; may require further directions/instructions</v>
      </c>
      <c r="B17" s="136"/>
      <c r="C17" s="136"/>
      <c r="D17" s="136"/>
      <c r="E17" s="136"/>
      <c r="F17" s="136"/>
      <c r="G17" s="136"/>
      <c r="H17" s="136"/>
      <c r="I17" s="137"/>
      <c r="J17" s="99"/>
      <c r="K17" s="100"/>
    </row>
    <row r="18" spans="1:11">
      <c r="A18" s="141"/>
      <c r="B18" s="136"/>
      <c r="C18" s="136"/>
      <c r="D18" s="136"/>
      <c r="E18" s="136"/>
      <c r="F18" s="136"/>
      <c r="G18" s="136"/>
      <c r="H18" s="136"/>
      <c r="I18" s="137"/>
      <c r="J18" s="99"/>
      <c r="K18" s="100"/>
    </row>
    <row r="19" spans="1:11">
      <c r="A19" s="141"/>
      <c r="B19" s="136"/>
      <c r="C19" s="136"/>
      <c r="D19" s="136"/>
      <c r="E19" s="136"/>
      <c r="F19" s="136"/>
      <c r="G19" s="136"/>
      <c r="H19" s="136"/>
      <c r="I19" s="137"/>
      <c r="J19" s="99"/>
      <c r="K19" s="100"/>
    </row>
    <row r="20" spans="1:11">
      <c r="A20" s="87"/>
      <c r="B20" s="91"/>
      <c r="C20" s="91"/>
      <c r="D20" s="91"/>
      <c r="E20" s="91"/>
      <c r="F20" s="91"/>
      <c r="G20" s="91"/>
      <c r="H20" s="91"/>
      <c r="I20" s="95"/>
      <c r="J20" s="101"/>
      <c r="K20" s="102"/>
    </row>
    <row r="21" spans="1:11">
      <c r="A21" s="96" t="s">
        <v>327</v>
      </c>
      <c r="B21" s="86"/>
      <c r="C21" s="86"/>
      <c r="D21" s="86"/>
      <c r="E21" s="86"/>
      <c r="F21" s="86"/>
      <c r="G21" s="86"/>
      <c r="H21" s="86"/>
      <c r="I21" s="93"/>
      <c r="J21" s="97" t="s">
        <v>305</v>
      </c>
      <c r="K21" s="98">
        <v>1</v>
      </c>
    </row>
    <row r="22" spans="1:11">
      <c r="A22" s="141" t="str">
        <f>VLOOKUP('Factor Sheet'!B9,'Drop Down Info'!A72:H79,6,FALSE)</f>
        <v>Effective communication / instruction
Reassurance throughout rescue</v>
      </c>
      <c r="B22" s="136"/>
      <c r="C22" s="136"/>
      <c r="D22" s="136"/>
      <c r="E22" s="136"/>
      <c r="F22" s="136"/>
      <c r="G22" s="136"/>
      <c r="H22" s="136"/>
      <c r="I22" s="137"/>
      <c r="J22" s="99"/>
      <c r="K22" s="100"/>
    </row>
    <row r="23" spans="1:11">
      <c r="A23" s="141"/>
      <c r="B23" s="136"/>
      <c r="C23" s="136"/>
      <c r="D23" s="136"/>
      <c r="E23" s="136"/>
      <c r="F23" s="136"/>
      <c r="G23" s="136"/>
      <c r="H23" s="136"/>
      <c r="I23" s="137"/>
      <c r="J23" s="99"/>
      <c r="K23" s="100"/>
    </row>
    <row r="24" spans="1:11">
      <c r="A24" s="141"/>
      <c r="B24" s="136"/>
      <c r="C24" s="136"/>
      <c r="D24" s="136"/>
      <c r="E24" s="136"/>
      <c r="F24" s="136"/>
      <c r="G24" s="136"/>
      <c r="H24" s="136"/>
      <c r="I24" s="137"/>
      <c r="J24" s="99"/>
      <c r="K24" s="100"/>
    </row>
    <row r="25" spans="1:11">
      <c r="A25" s="87"/>
      <c r="B25" s="91"/>
      <c r="C25" s="91"/>
      <c r="D25" s="91"/>
      <c r="E25" s="91"/>
      <c r="F25" s="91"/>
      <c r="G25" s="91"/>
      <c r="H25" s="91"/>
      <c r="I25" s="95"/>
      <c r="J25" s="101"/>
      <c r="K25" s="102"/>
    </row>
    <row r="26" spans="1:11">
      <c r="A26" s="96" t="s">
        <v>50</v>
      </c>
      <c r="B26" s="86"/>
      <c r="C26" s="86"/>
      <c r="D26" s="86"/>
      <c r="E26" s="86"/>
      <c r="F26" s="86"/>
      <c r="G26" s="86"/>
      <c r="H26" s="86"/>
      <c r="I26" s="93"/>
      <c r="J26" s="97" t="s">
        <v>305</v>
      </c>
      <c r="K26" s="98">
        <v>1.25</v>
      </c>
    </row>
    <row r="27" spans="1:11">
      <c r="A27" s="141" t="str">
        <f>VLOOKUP('Factor Sheet'!B9,'Drop Down Info'!A72:H79,7,FALSE)</f>
        <v>Careful removal from water with attention to injury
Make secure and land (monitor while still in water; may require further directions/instructions)
Appropriate landing for size and strength of rescuer</v>
      </c>
      <c r="B27" s="136"/>
      <c r="C27" s="136"/>
      <c r="D27" s="136"/>
      <c r="E27" s="136"/>
      <c r="F27" s="136"/>
      <c r="G27" s="136"/>
      <c r="H27" s="136"/>
      <c r="I27" s="137"/>
      <c r="J27" s="99"/>
      <c r="K27" s="100"/>
    </row>
    <row r="28" spans="1:11">
      <c r="A28" s="141"/>
      <c r="B28" s="136"/>
      <c r="C28" s="136"/>
      <c r="D28" s="136"/>
      <c r="E28" s="136"/>
      <c r="F28" s="136"/>
      <c r="G28" s="136"/>
      <c r="H28" s="136"/>
      <c r="I28" s="137"/>
      <c r="J28" s="99"/>
      <c r="K28" s="100"/>
    </row>
    <row r="29" spans="1:11">
      <c r="A29" s="141"/>
      <c r="B29" s="136"/>
      <c r="C29" s="136"/>
      <c r="D29" s="136"/>
      <c r="E29" s="136"/>
      <c r="F29" s="136"/>
      <c r="G29" s="136"/>
      <c r="H29" s="136"/>
      <c r="I29" s="137"/>
      <c r="J29" s="99"/>
      <c r="K29" s="100"/>
    </row>
    <row r="30" spans="1:11">
      <c r="A30" s="87"/>
      <c r="B30" s="91"/>
      <c r="C30" s="91"/>
      <c r="D30" s="91"/>
      <c r="E30" s="91"/>
      <c r="F30" s="91"/>
      <c r="G30" s="91"/>
      <c r="H30" s="91"/>
      <c r="I30" s="95"/>
      <c r="J30" s="101"/>
      <c r="K30" s="102"/>
    </row>
    <row r="31" spans="1:11">
      <c r="A31" s="96" t="s">
        <v>51</v>
      </c>
      <c r="B31" s="86"/>
      <c r="C31" s="86"/>
      <c r="D31" s="86"/>
      <c r="E31" s="86"/>
      <c r="F31" s="86"/>
      <c r="G31" s="86"/>
      <c r="H31" s="86"/>
      <c r="I31" s="93"/>
      <c r="J31" s="97" t="s">
        <v>305</v>
      </c>
      <c r="K31" s="98">
        <v>1.25</v>
      </c>
    </row>
    <row r="32" spans="1:11">
      <c r="A32" s="141" t="str">
        <f>VLOOKUP('Factor Sheet'!B9,'Drop Down Info'!A72:H79,8,FALSE)</f>
        <v>Safe position away from the edge; warmth and protection where possible; monitor safety; ongoing monitoring and care</v>
      </c>
      <c r="B32" s="136"/>
      <c r="C32" s="136"/>
      <c r="D32" s="136"/>
      <c r="E32" s="136"/>
      <c r="F32" s="136"/>
      <c r="G32" s="136"/>
      <c r="H32" s="136"/>
      <c r="I32" s="137"/>
      <c r="J32" s="99"/>
      <c r="K32" s="100"/>
    </row>
    <row r="33" spans="1:11">
      <c r="A33" s="141"/>
      <c r="B33" s="136"/>
      <c r="C33" s="136"/>
      <c r="D33" s="136"/>
      <c r="E33" s="136"/>
      <c r="F33" s="136"/>
      <c r="G33" s="136"/>
      <c r="H33" s="136"/>
      <c r="I33" s="137"/>
      <c r="J33" s="99"/>
      <c r="K33" s="100"/>
    </row>
    <row r="34" spans="1:11">
      <c r="A34" s="141"/>
      <c r="B34" s="136"/>
      <c r="C34" s="136"/>
      <c r="D34" s="136"/>
      <c r="E34" s="136"/>
      <c r="F34" s="136"/>
      <c r="G34" s="136"/>
      <c r="H34" s="136"/>
      <c r="I34" s="137"/>
      <c r="J34" s="99"/>
      <c r="K34" s="100"/>
    </row>
    <row r="35" spans="1:11">
      <c r="A35" s="87"/>
      <c r="B35" s="91"/>
      <c r="C35" s="91"/>
      <c r="D35" s="91"/>
      <c r="E35" s="91"/>
      <c r="F35" s="91"/>
      <c r="G35" s="91"/>
      <c r="H35" s="91"/>
      <c r="I35" s="95"/>
      <c r="J35" s="101"/>
      <c r="K35" s="102"/>
    </row>
    <row r="36" spans="1:11" ht="35" customHeight="1">
      <c r="A36" s="145" t="s">
        <v>318</v>
      </c>
      <c r="B36" s="146"/>
      <c r="C36" s="146"/>
      <c r="D36" s="146"/>
      <c r="E36" s="146"/>
      <c r="F36" s="146"/>
      <c r="G36" s="146"/>
      <c r="H36" s="146"/>
      <c r="I36" s="147"/>
      <c r="J36" s="105"/>
      <c r="K36" s="106"/>
    </row>
    <row r="37" spans="1:11">
      <c r="I37" s="129" t="s">
        <v>319</v>
      </c>
      <c r="J37" s="85"/>
      <c r="K37" s="93"/>
    </row>
    <row r="38" spans="1:11">
      <c r="I38" s="130"/>
      <c r="J38" s="87"/>
      <c r="K38" s="95"/>
    </row>
  </sheetData>
  <mergeCells count="16">
    <mergeCell ref="I37:I38"/>
    <mergeCell ref="A22:I24"/>
    <mergeCell ref="A27:I29"/>
    <mergeCell ref="A32:I34"/>
    <mergeCell ref="A36:I36"/>
    <mergeCell ref="A17:I19"/>
    <mergeCell ref="A1:K1"/>
    <mergeCell ref="A6:K6"/>
    <mergeCell ref="A8:K8"/>
    <mergeCell ref="A10:I10"/>
    <mergeCell ref="A12:I14"/>
    <mergeCell ref="J9:K9"/>
    <mergeCell ref="H9:I9"/>
    <mergeCell ref="F9:G9"/>
    <mergeCell ref="D9:E9"/>
    <mergeCell ref="B9:C9"/>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99AA5-25D7-4886-9E81-E9B7A960351E}">
  <dimension ref="A1:K38"/>
  <sheetViews>
    <sheetView topLeftCell="A27" workbookViewId="0">
      <selection activeCell="A43" sqref="A43"/>
    </sheetView>
  </sheetViews>
  <sheetFormatPr baseColWidth="10" defaultRowHeight="15.5"/>
  <cols>
    <col min="1" max="1" width="2.6328125" style="81" customWidth="1"/>
    <col min="2" max="11" width="9.6328125" style="81" customWidth="1"/>
    <col min="12" max="16384" width="10.90625" style="81"/>
  </cols>
  <sheetData>
    <row r="1" spans="1:11">
      <c r="A1" s="131" t="str">
        <f>CONCATENATE('Factor Sheet'!B10," ","- Victim ",'Factor Sheet'!A10)</f>
        <v>Unconscious Non-Breathing - Victim 9</v>
      </c>
      <c r="B1" s="132"/>
      <c r="C1" s="132"/>
      <c r="D1" s="132"/>
      <c r="E1" s="132"/>
      <c r="F1" s="132"/>
      <c r="G1" s="132"/>
      <c r="H1" s="132"/>
      <c r="I1" s="132"/>
      <c r="J1" s="132"/>
      <c r="K1" s="132"/>
    </row>
    <row r="2" spans="1:11">
      <c r="A2" s="81" t="s">
        <v>325</v>
      </c>
    </row>
    <row r="3" spans="1:11">
      <c r="A3" s="107" t="s">
        <v>292</v>
      </c>
      <c r="E3" s="107" t="s">
        <v>293</v>
      </c>
    </row>
    <row r="4" spans="1:11">
      <c r="G4" s="107" t="s">
        <v>294</v>
      </c>
    </row>
    <row r="5" spans="1:11">
      <c r="A5" s="108" t="str">
        <f>CONCATENATE("Victim: ",'Factor Sheet'!B10)</f>
        <v>Victim: Unconscious Non-Breathing</v>
      </c>
      <c r="B5" s="86"/>
      <c r="C5" s="86"/>
      <c r="D5" s="86"/>
      <c r="E5" s="86"/>
      <c r="F5" s="86"/>
      <c r="G5" s="86"/>
      <c r="H5" s="86"/>
      <c r="I5" s="86"/>
      <c r="J5" s="86"/>
      <c r="K5" s="93"/>
    </row>
    <row r="6" spans="1:11" ht="50" customHeight="1">
      <c r="A6" s="142" t="str">
        <f>VLOOKUP('Factor Sheet'!B10,'Drop Down Info'!A72:H79,2,FALSE)</f>
        <v>This victim will be on the bottom of the pool.</v>
      </c>
      <c r="B6" s="143"/>
      <c r="C6" s="143"/>
      <c r="D6" s="143"/>
      <c r="E6" s="143"/>
      <c r="F6" s="143"/>
      <c r="G6" s="143"/>
      <c r="H6" s="143"/>
      <c r="I6" s="143"/>
      <c r="J6" s="143"/>
      <c r="K6" s="144"/>
    </row>
    <row r="7" spans="1:11">
      <c r="A7" s="108" t="s">
        <v>326</v>
      </c>
      <c r="B7" s="86"/>
      <c r="C7" s="86"/>
      <c r="D7" s="86"/>
      <c r="E7" s="86"/>
      <c r="F7" s="86"/>
      <c r="G7" s="86"/>
      <c r="H7" s="86"/>
      <c r="I7" s="86"/>
      <c r="J7" s="86"/>
      <c r="K7" s="93"/>
    </row>
    <row r="8" spans="1:11" ht="70" customHeight="1">
      <c r="A8" s="142" t="str">
        <f>VLOOKUP('Factor Sheet'!B10,'Drop Down Info'!A72:H79,3,FALSE)</f>
        <v>This victim is a low-order rescue priority and rescuers should deal with the high priority victims as quickly as possible in order to get to this victim who requires continuous care.
CPR should be commenced when it is safe to do so; on land, boat, rescue breaths with a buoyant aid in the water, etc. and your marks should reflect the efficiency and effectiveness of the CPR simulation (and not measured against your own Country/Nation’s teaching / standards).</v>
      </c>
      <c r="B8" s="136"/>
      <c r="C8" s="136"/>
      <c r="D8" s="136"/>
      <c r="E8" s="136"/>
      <c r="F8" s="136"/>
      <c r="G8" s="136"/>
      <c r="H8" s="136"/>
      <c r="I8" s="136"/>
      <c r="J8" s="136"/>
      <c r="K8" s="137"/>
    </row>
    <row r="9" spans="1:11">
      <c r="B9" s="127" t="s">
        <v>320</v>
      </c>
      <c r="C9" s="128"/>
      <c r="D9" s="127" t="s">
        <v>321</v>
      </c>
      <c r="E9" s="128"/>
      <c r="F9" s="127" t="s">
        <v>322</v>
      </c>
      <c r="G9" s="128"/>
      <c r="H9" s="127" t="s">
        <v>323</v>
      </c>
      <c r="I9" s="128"/>
      <c r="J9" s="127" t="s">
        <v>324</v>
      </c>
      <c r="K9" s="128"/>
    </row>
    <row r="10" spans="1:11">
      <c r="A10" s="138" t="s">
        <v>299</v>
      </c>
      <c r="B10" s="139"/>
      <c r="C10" s="139"/>
      <c r="D10" s="139"/>
      <c r="E10" s="139"/>
      <c r="F10" s="139"/>
      <c r="G10" s="139"/>
      <c r="H10" s="139"/>
      <c r="I10" s="140"/>
      <c r="J10" s="103" t="s">
        <v>300</v>
      </c>
      <c r="K10" s="104"/>
    </row>
    <row r="11" spans="1:11">
      <c r="A11" s="96" t="s">
        <v>137</v>
      </c>
      <c r="B11" s="86"/>
      <c r="C11" s="86"/>
      <c r="D11" s="86"/>
      <c r="E11" s="86"/>
      <c r="F11" s="86"/>
      <c r="G11" s="86"/>
      <c r="H11" s="86"/>
      <c r="I11" s="93"/>
      <c r="J11" s="97" t="s">
        <v>305</v>
      </c>
      <c r="K11" s="98">
        <v>1.5</v>
      </c>
    </row>
    <row r="12" spans="1:11">
      <c r="A12" s="141" t="str">
        <f>VLOOKUP('Factor Sheet'!B10,'Drop Down Info'!A72:H79,4,FALSE)</f>
        <v>Identification of casualty</v>
      </c>
      <c r="B12" s="136"/>
      <c r="C12" s="136"/>
      <c r="D12" s="136"/>
      <c r="E12" s="136"/>
      <c r="F12" s="136"/>
      <c r="G12" s="136"/>
      <c r="H12" s="136"/>
      <c r="I12" s="137"/>
      <c r="J12" s="99"/>
      <c r="K12" s="100"/>
    </row>
    <row r="13" spans="1:11">
      <c r="A13" s="141"/>
      <c r="B13" s="136"/>
      <c r="C13" s="136"/>
      <c r="D13" s="136"/>
      <c r="E13" s="136"/>
      <c r="F13" s="136"/>
      <c r="G13" s="136"/>
      <c r="H13" s="136"/>
      <c r="I13" s="137"/>
      <c r="J13" s="99"/>
      <c r="K13" s="100"/>
    </row>
    <row r="14" spans="1:11">
      <c r="A14" s="141"/>
      <c r="B14" s="136"/>
      <c r="C14" s="136"/>
      <c r="D14" s="136"/>
      <c r="E14" s="136"/>
      <c r="F14" s="136"/>
      <c r="G14" s="136"/>
      <c r="H14" s="136"/>
      <c r="I14" s="137"/>
      <c r="J14" s="99"/>
      <c r="K14" s="100"/>
    </row>
    <row r="15" spans="1:11">
      <c r="A15" s="87"/>
      <c r="B15" s="91"/>
      <c r="C15" s="91"/>
      <c r="D15" s="91"/>
      <c r="E15" s="91"/>
      <c r="F15" s="91"/>
      <c r="G15" s="91"/>
      <c r="H15" s="91"/>
      <c r="I15" s="95"/>
      <c r="J15" s="101"/>
      <c r="K15" s="102"/>
    </row>
    <row r="16" spans="1:11">
      <c r="A16" s="96" t="s">
        <v>48</v>
      </c>
      <c r="B16" s="86"/>
      <c r="C16" s="86"/>
      <c r="D16" s="86"/>
      <c r="E16" s="86"/>
      <c r="F16" s="86"/>
      <c r="G16" s="86"/>
      <c r="H16" s="86"/>
      <c r="I16" s="93"/>
      <c r="J16" s="97" t="s">
        <v>305</v>
      </c>
      <c r="K16" s="98">
        <v>1</v>
      </c>
    </row>
    <row r="17" spans="1:11">
      <c r="A17" s="141" t="str">
        <f>VLOOKUP('Factor Sheet'!B10,'Drop Down Info'!A72:H79,5,FALSE)</f>
        <v>Speed of rescue (considering priority of rescue)
Speed in getting back to safety</v>
      </c>
      <c r="B17" s="136"/>
      <c r="C17" s="136"/>
      <c r="D17" s="136"/>
      <c r="E17" s="136"/>
      <c r="F17" s="136"/>
      <c r="G17" s="136"/>
      <c r="H17" s="136"/>
      <c r="I17" s="137"/>
      <c r="J17" s="99"/>
      <c r="K17" s="100"/>
    </row>
    <row r="18" spans="1:11">
      <c r="A18" s="141"/>
      <c r="B18" s="136"/>
      <c r="C18" s="136"/>
      <c r="D18" s="136"/>
      <c r="E18" s="136"/>
      <c r="F18" s="136"/>
      <c r="G18" s="136"/>
      <c r="H18" s="136"/>
      <c r="I18" s="137"/>
      <c r="J18" s="99"/>
      <c r="K18" s="100"/>
    </row>
    <row r="19" spans="1:11">
      <c r="A19" s="141"/>
      <c r="B19" s="136"/>
      <c r="C19" s="136"/>
      <c r="D19" s="136"/>
      <c r="E19" s="136"/>
      <c r="F19" s="136"/>
      <c r="G19" s="136"/>
      <c r="H19" s="136"/>
      <c r="I19" s="137"/>
      <c r="J19" s="99"/>
      <c r="K19" s="100"/>
    </row>
    <row r="20" spans="1:11">
      <c r="A20" s="87"/>
      <c r="B20" s="91"/>
      <c r="C20" s="91"/>
      <c r="D20" s="91"/>
      <c r="E20" s="91"/>
      <c r="F20" s="91"/>
      <c r="G20" s="91"/>
      <c r="H20" s="91"/>
      <c r="I20" s="95"/>
      <c r="J20" s="101"/>
      <c r="K20" s="102"/>
    </row>
    <row r="21" spans="1:11">
      <c r="A21" s="96" t="s">
        <v>327</v>
      </c>
      <c r="B21" s="86"/>
      <c r="C21" s="86"/>
      <c r="D21" s="86"/>
      <c r="E21" s="86"/>
      <c r="F21" s="86"/>
      <c r="G21" s="86"/>
      <c r="H21" s="86"/>
      <c r="I21" s="93"/>
      <c r="J21" s="97" t="s">
        <v>305</v>
      </c>
      <c r="K21" s="98">
        <v>1</v>
      </c>
    </row>
    <row r="22" spans="1:11">
      <c r="A22" s="141" t="str">
        <f>VLOOKUP('Factor Sheet'!B10,'Drop Down Info'!A72:H79,6,FALSE)</f>
        <v>Effective and efficient carry</v>
      </c>
      <c r="B22" s="136"/>
      <c r="C22" s="136"/>
      <c r="D22" s="136"/>
      <c r="E22" s="136"/>
      <c r="F22" s="136"/>
      <c r="G22" s="136"/>
      <c r="H22" s="136"/>
      <c r="I22" s="137"/>
      <c r="J22" s="99"/>
      <c r="K22" s="100"/>
    </row>
    <row r="23" spans="1:11">
      <c r="A23" s="141"/>
      <c r="B23" s="136"/>
      <c r="C23" s="136"/>
      <c r="D23" s="136"/>
      <c r="E23" s="136"/>
      <c r="F23" s="136"/>
      <c r="G23" s="136"/>
      <c r="H23" s="136"/>
      <c r="I23" s="137"/>
      <c r="J23" s="99"/>
      <c r="K23" s="100"/>
    </row>
    <row r="24" spans="1:11">
      <c r="A24" s="141"/>
      <c r="B24" s="136"/>
      <c r="C24" s="136"/>
      <c r="D24" s="136"/>
      <c r="E24" s="136"/>
      <c r="F24" s="136"/>
      <c r="G24" s="136"/>
      <c r="H24" s="136"/>
      <c r="I24" s="137"/>
      <c r="J24" s="99"/>
      <c r="K24" s="100"/>
    </row>
    <row r="25" spans="1:11">
      <c r="A25" s="87"/>
      <c r="B25" s="91"/>
      <c r="C25" s="91"/>
      <c r="D25" s="91"/>
      <c r="E25" s="91"/>
      <c r="F25" s="91"/>
      <c r="G25" s="91"/>
      <c r="H25" s="91"/>
      <c r="I25" s="95"/>
      <c r="J25" s="101"/>
      <c r="K25" s="102"/>
    </row>
    <row r="26" spans="1:11">
      <c r="A26" s="96" t="s">
        <v>50</v>
      </c>
      <c r="B26" s="86"/>
      <c r="C26" s="86"/>
      <c r="D26" s="86"/>
      <c r="E26" s="86"/>
      <c r="F26" s="86"/>
      <c r="G26" s="86"/>
      <c r="H26" s="86"/>
      <c r="I26" s="93"/>
      <c r="J26" s="97" t="s">
        <v>305</v>
      </c>
      <c r="K26" s="98">
        <v>1</v>
      </c>
    </row>
    <row r="27" spans="1:11">
      <c r="A27" s="141" t="str">
        <f>VLOOKUP('Factor Sheet'!B10,'Drop Down Info'!A72:H79,7,FALSE)</f>
        <v>Careful handling/landing of the casualty</v>
      </c>
      <c r="B27" s="136"/>
      <c r="C27" s="136"/>
      <c r="D27" s="136"/>
      <c r="E27" s="136"/>
      <c r="F27" s="136"/>
      <c r="G27" s="136"/>
      <c r="H27" s="136"/>
      <c r="I27" s="137"/>
      <c r="J27" s="99"/>
      <c r="K27" s="100"/>
    </row>
    <row r="28" spans="1:11">
      <c r="A28" s="141"/>
      <c r="B28" s="136"/>
      <c r="C28" s="136"/>
      <c r="D28" s="136"/>
      <c r="E28" s="136"/>
      <c r="F28" s="136"/>
      <c r="G28" s="136"/>
      <c r="H28" s="136"/>
      <c r="I28" s="137"/>
      <c r="J28" s="99"/>
      <c r="K28" s="100"/>
    </row>
    <row r="29" spans="1:11">
      <c r="A29" s="141"/>
      <c r="B29" s="136"/>
      <c r="C29" s="136"/>
      <c r="D29" s="136"/>
      <c r="E29" s="136"/>
      <c r="F29" s="136"/>
      <c r="G29" s="136"/>
      <c r="H29" s="136"/>
      <c r="I29" s="137"/>
      <c r="J29" s="99"/>
      <c r="K29" s="100"/>
    </row>
    <row r="30" spans="1:11">
      <c r="A30" s="87"/>
      <c r="B30" s="91"/>
      <c r="C30" s="91"/>
      <c r="D30" s="91"/>
      <c r="E30" s="91"/>
      <c r="F30" s="91"/>
      <c r="G30" s="91"/>
      <c r="H30" s="91"/>
      <c r="I30" s="95"/>
      <c r="J30" s="101"/>
      <c r="K30" s="102"/>
    </row>
    <row r="31" spans="1:11">
      <c r="A31" s="96" t="s">
        <v>51</v>
      </c>
      <c r="B31" s="86"/>
      <c r="C31" s="86"/>
      <c r="D31" s="86"/>
      <c r="E31" s="86"/>
      <c r="F31" s="86"/>
      <c r="G31" s="86"/>
      <c r="H31" s="86"/>
      <c r="I31" s="93"/>
      <c r="J31" s="97" t="s">
        <v>305</v>
      </c>
      <c r="K31" s="98">
        <v>1.5</v>
      </c>
    </row>
    <row r="32" spans="1:11">
      <c r="A32" s="141" t="str">
        <f>VLOOKUP('Factor Sheet'!B10,'Drop Down Info'!A72:H79,8,FALSE)</f>
        <v>Effective and efficient CPR likely to assist recovery
Safe position away from danger; monitor safety; ongoing monitoring and care</v>
      </c>
      <c r="B32" s="136"/>
      <c r="C32" s="136"/>
      <c r="D32" s="136"/>
      <c r="E32" s="136"/>
      <c r="F32" s="136"/>
      <c r="G32" s="136"/>
      <c r="H32" s="136"/>
      <c r="I32" s="137"/>
      <c r="J32" s="99"/>
      <c r="K32" s="100"/>
    </row>
    <row r="33" spans="1:11">
      <c r="A33" s="141"/>
      <c r="B33" s="136"/>
      <c r="C33" s="136"/>
      <c r="D33" s="136"/>
      <c r="E33" s="136"/>
      <c r="F33" s="136"/>
      <c r="G33" s="136"/>
      <c r="H33" s="136"/>
      <c r="I33" s="137"/>
      <c r="J33" s="99"/>
      <c r="K33" s="100"/>
    </row>
    <row r="34" spans="1:11">
      <c r="A34" s="141"/>
      <c r="B34" s="136"/>
      <c r="C34" s="136"/>
      <c r="D34" s="136"/>
      <c r="E34" s="136"/>
      <c r="F34" s="136"/>
      <c r="G34" s="136"/>
      <c r="H34" s="136"/>
      <c r="I34" s="137"/>
      <c r="J34" s="99"/>
      <c r="K34" s="100"/>
    </row>
    <row r="35" spans="1:11">
      <c r="A35" s="87"/>
      <c r="B35" s="91"/>
      <c r="C35" s="91"/>
      <c r="D35" s="91"/>
      <c r="E35" s="91"/>
      <c r="F35" s="91"/>
      <c r="G35" s="91"/>
      <c r="H35" s="91"/>
      <c r="I35" s="95"/>
      <c r="J35" s="101"/>
      <c r="K35" s="102"/>
    </row>
    <row r="36" spans="1:11" ht="35" customHeight="1">
      <c r="A36" s="145" t="s">
        <v>318</v>
      </c>
      <c r="B36" s="146"/>
      <c r="C36" s="146"/>
      <c r="D36" s="146"/>
      <c r="E36" s="146"/>
      <c r="F36" s="146"/>
      <c r="G36" s="146"/>
      <c r="H36" s="146"/>
      <c r="I36" s="147"/>
      <c r="J36" s="105"/>
      <c r="K36" s="106"/>
    </row>
    <row r="37" spans="1:11">
      <c r="I37" s="129" t="s">
        <v>319</v>
      </c>
      <c r="J37" s="85"/>
      <c r="K37" s="93"/>
    </row>
    <row r="38" spans="1:11">
      <c r="I38" s="130"/>
      <c r="J38" s="87"/>
      <c r="K38" s="95"/>
    </row>
  </sheetData>
  <mergeCells count="16">
    <mergeCell ref="I37:I38"/>
    <mergeCell ref="A22:I24"/>
    <mergeCell ref="A27:I29"/>
    <mergeCell ref="A32:I34"/>
    <mergeCell ref="A36:I36"/>
    <mergeCell ref="A17:I19"/>
    <mergeCell ref="A1:K1"/>
    <mergeCell ref="A6:K6"/>
    <mergeCell ref="A8:K8"/>
    <mergeCell ref="A10:I10"/>
    <mergeCell ref="A12:I14"/>
    <mergeCell ref="J9:K9"/>
    <mergeCell ref="H9:I9"/>
    <mergeCell ref="F9:G9"/>
    <mergeCell ref="D9:E9"/>
    <mergeCell ref="B9:C9"/>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3AD8A-8B71-4D9E-9E96-60BD822CB66D}">
  <dimension ref="A1:K38"/>
  <sheetViews>
    <sheetView workbookViewId="0">
      <selection activeCell="A43" sqref="A43"/>
    </sheetView>
  </sheetViews>
  <sheetFormatPr baseColWidth="10" defaultRowHeight="15.5"/>
  <cols>
    <col min="1" max="1" width="2.6328125" style="81" customWidth="1"/>
    <col min="2" max="11" width="9.6328125" style="81" customWidth="1"/>
    <col min="12" max="16384" width="10.90625" style="81"/>
  </cols>
  <sheetData>
    <row r="1" spans="1:11">
      <c r="A1" s="131" t="s">
        <v>328</v>
      </c>
      <c r="B1" s="132"/>
      <c r="C1" s="132"/>
      <c r="D1" s="132"/>
      <c r="E1" s="132"/>
      <c r="F1" s="132"/>
      <c r="G1" s="132"/>
      <c r="H1" s="132"/>
      <c r="I1" s="132"/>
      <c r="J1" s="132"/>
      <c r="K1" s="132"/>
    </row>
    <row r="2" spans="1:11">
      <c r="A2" s="81" t="s">
        <v>325</v>
      </c>
    </row>
    <row r="3" spans="1:11">
      <c r="A3" s="107" t="s">
        <v>292</v>
      </c>
      <c r="E3" s="107" t="s">
        <v>293</v>
      </c>
    </row>
    <row r="4" spans="1:11">
      <c r="G4" s="107" t="s">
        <v>294</v>
      </c>
    </row>
    <row r="5" spans="1:11">
      <c r="A5" s="108" t="str">
        <f>CONCATENATE("Victim: ",'Factor Sheet'!B22)</f>
        <v>Victim: You can add details about the bystander in this cell</v>
      </c>
      <c r="B5" s="86"/>
      <c r="C5" s="86"/>
      <c r="D5" s="86"/>
      <c r="E5" s="86"/>
      <c r="F5" s="86"/>
      <c r="G5" s="86"/>
      <c r="H5" s="86"/>
      <c r="I5" s="86"/>
      <c r="J5" s="86"/>
      <c r="K5" s="93"/>
    </row>
    <row r="6" spans="1:11" ht="50" customHeight="1">
      <c r="A6" s="142" t="str">
        <f>VLOOKUP('Factor Sheet'!A22,'Drop Down Info'!A72:H79,2,FALSE)</f>
        <v>The bystander will not offer assistance but will be cooperative and take direction.</v>
      </c>
      <c r="B6" s="143"/>
      <c r="C6" s="143"/>
      <c r="D6" s="143"/>
      <c r="E6" s="143"/>
      <c r="F6" s="143"/>
      <c r="G6" s="143"/>
      <c r="H6" s="143"/>
      <c r="I6" s="143"/>
      <c r="J6" s="143"/>
      <c r="K6" s="144"/>
    </row>
    <row r="7" spans="1:11">
      <c r="A7" s="108" t="s">
        <v>326</v>
      </c>
      <c r="B7" s="86"/>
      <c r="C7" s="86"/>
      <c r="D7" s="86"/>
      <c r="E7" s="86"/>
      <c r="F7" s="86"/>
      <c r="G7" s="86"/>
      <c r="H7" s="86"/>
      <c r="I7" s="86"/>
      <c r="J7" s="86"/>
      <c r="K7" s="93"/>
    </row>
    <row r="8" spans="1:11" ht="70" customHeight="1">
      <c r="A8" s="142" t="str">
        <f>VLOOKUP('Factor Sheet'!A22,'Drop Down Info'!A72:H79,3,FALSE)</f>
        <v>This is a high priority bystander as they can lend assistance when given direction. .</v>
      </c>
      <c r="B8" s="136"/>
      <c r="C8" s="136"/>
      <c r="D8" s="136"/>
      <c r="E8" s="136"/>
      <c r="F8" s="136"/>
      <c r="G8" s="136"/>
      <c r="H8" s="136"/>
      <c r="I8" s="136"/>
      <c r="J8" s="136"/>
      <c r="K8" s="137"/>
    </row>
    <row r="9" spans="1:11">
      <c r="B9" s="127" t="s">
        <v>320</v>
      </c>
      <c r="C9" s="128"/>
      <c r="D9" s="127" t="s">
        <v>321</v>
      </c>
      <c r="E9" s="128"/>
      <c r="F9" s="127" t="s">
        <v>322</v>
      </c>
      <c r="G9" s="128"/>
      <c r="H9" s="127" t="s">
        <v>323</v>
      </c>
      <c r="I9" s="128"/>
      <c r="J9" s="127" t="s">
        <v>324</v>
      </c>
      <c r="K9" s="128"/>
    </row>
    <row r="10" spans="1:11">
      <c r="A10" s="138" t="s">
        <v>299</v>
      </c>
      <c r="B10" s="139"/>
      <c r="C10" s="139"/>
      <c r="D10" s="139"/>
      <c r="E10" s="139"/>
      <c r="F10" s="139"/>
      <c r="G10" s="139"/>
      <c r="H10" s="139"/>
      <c r="I10" s="140"/>
      <c r="J10" s="103" t="s">
        <v>300</v>
      </c>
      <c r="K10" s="104"/>
    </row>
    <row r="11" spans="1:11">
      <c r="A11" s="96" t="str">
        <f>+'Factor Sheet'!C21</f>
        <v>Victim Recognition/Approach</v>
      </c>
      <c r="B11" s="86"/>
      <c r="C11" s="86"/>
      <c r="D11" s="86"/>
      <c r="E11" s="86"/>
      <c r="F11" s="86"/>
      <c r="G11" s="86"/>
      <c r="H11" s="86"/>
      <c r="I11" s="93"/>
      <c r="J11" s="97" t="s">
        <v>305</v>
      </c>
      <c r="K11" s="98" t="s">
        <v>329</v>
      </c>
    </row>
    <row r="12" spans="1:11">
      <c r="A12" s="141" t="str">
        <f>+'Factor Sheet'!C22</f>
        <v>Recognition that they are a bystander and cooperative.</v>
      </c>
      <c r="B12" s="136"/>
      <c r="C12" s="136"/>
      <c r="D12" s="136"/>
      <c r="E12" s="136"/>
      <c r="F12" s="136"/>
      <c r="G12" s="136"/>
      <c r="H12" s="136"/>
      <c r="I12" s="137"/>
      <c r="J12" s="99"/>
      <c r="K12" s="100"/>
    </row>
    <row r="13" spans="1:11">
      <c r="A13" s="141"/>
      <c r="B13" s="136"/>
      <c r="C13" s="136"/>
      <c r="D13" s="136"/>
      <c r="E13" s="136"/>
      <c r="F13" s="136"/>
      <c r="G13" s="136"/>
      <c r="H13" s="136"/>
      <c r="I13" s="137"/>
      <c r="J13" s="99"/>
      <c r="K13" s="100"/>
    </row>
    <row r="14" spans="1:11">
      <c r="A14" s="141"/>
      <c r="B14" s="136"/>
      <c r="C14" s="136"/>
      <c r="D14" s="136"/>
      <c r="E14" s="136"/>
      <c r="F14" s="136"/>
      <c r="G14" s="136"/>
      <c r="H14" s="136"/>
      <c r="I14" s="137"/>
      <c r="J14" s="99"/>
      <c r="K14" s="100"/>
    </row>
    <row r="15" spans="1:11">
      <c r="A15" s="87"/>
      <c r="B15" s="91"/>
      <c r="C15" s="91"/>
      <c r="D15" s="91"/>
      <c r="E15" s="91"/>
      <c r="F15" s="91"/>
      <c r="G15" s="91"/>
      <c r="H15" s="91"/>
      <c r="I15" s="95"/>
      <c r="J15" s="101"/>
      <c r="K15" s="102"/>
    </row>
    <row r="16" spans="1:11">
      <c r="A16" s="96" t="str">
        <f>+'Factor Sheet'!D21</f>
        <v>Assesses relevant information</v>
      </c>
      <c r="B16" s="86"/>
      <c r="C16" s="86"/>
      <c r="D16" s="86"/>
      <c r="E16" s="86"/>
      <c r="F16" s="86"/>
      <c r="G16" s="86"/>
      <c r="H16" s="86"/>
      <c r="I16" s="93"/>
      <c r="J16" s="97" t="s">
        <v>305</v>
      </c>
      <c r="K16" s="98" t="s">
        <v>329</v>
      </c>
    </row>
    <row r="17" spans="1:11">
      <c r="A17" s="141" t="str">
        <f>+'Factor Sheet'!D22</f>
        <v>Questions bystander to assess information about the scenario.
(low marks for not giving the bystander directions – maximum 5 marks for this section)</v>
      </c>
      <c r="B17" s="136"/>
      <c r="C17" s="136"/>
      <c r="D17" s="136"/>
      <c r="E17" s="136"/>
      <c r="F17" s="136"/>
      <c r="G17" s="136"/>
      <c r="H17" s="136"/>
      <c r="I17" s="137"/>
      <c r="J17" s="99"/>
      <c r="K17" s="100"/>
    </row>
    <row r="18" spans="1:11">
      <c r="A18" s="141"/>
      <c r="B18" s="136"/>
      <c r="C18" s="136"/>
      <c r="D18" s="136"/>
      <c r="E18" s="136"/>
      <c r="F18" s="136"/>
      <c r="G18" s="136"/>
      <c r="H18" s="136"/>
      <c r="I18" s="137"/>
      <c r="J18" s="99"/>
      <c r="K18" s="100"/>
    </row>
    <row r="19" spans="1:11">
      <c r="A19" s="141"/>
      <c r="B19" s="136"/>
      <c r="C19" s="136"/>
      <c r="D19" s="136"/>
      <c r="E19" s="136"/>
      <c r="F19" s="136"/>
      <c r="G19" s="136"/>
      <c r="H19" s="136"/>
      <c r="I19" s="137"/>
      <c r="J19" s="99"/>
      <c r="K19" s="100"/>
    </row>
    <row r="20" spans="1:11">
      <c r="A20" s="87"/>
      <c r="B20" s="91"/>
      <c r="C20" s="91"/>
      <c r="D20" s="91"/>
      <c r="E20" s="91"/>
      <c r="F20" s="91"/>
      <c r="G20" s="91"/>
      <c r="H20" s="91"/>
      <c r="I20" s="95"/>
      <c r="J20" s="101"/>
      <c r="K20" s="102"/>
    </row>
    <row r="21" spans="1:11">
      <c r="A21" s="96" t="str">
        <f>+'Factor Sheet'!E21</f>
        <v>Provides directions and instructions</v>
      </c>
      <c r="B21" s="86"/>
      <c r="C21" s="86"/>
      <c r="D21" s="86"/>
      <c r="E21" s="86"/>
      <c r="F21" s="86"/>
      <c r="G21" s="86"/>
      <c r="H21" s="86"/>
      <c r="I21" s="93"/>
      <c r="J21" s="97" t="s">
        <v>305</v>
      </c>
      <c r="K21" s="98" t="s">
        <v>329</v>
      </c>
    </row>
    <row r="22" spans="1:11">
      <c r="A22" s="141" t="str">
        <f>+'Factor Sheet'!E22</f>
        <v>Rescuer provides directions or instructions to assist the rescue scenario such as; asst. removals, reassure victims, call emergency services.</v>
      </c>
      <c r="B22" s="136"/>
      <c r="C22" s="136"/>
      <c r="D22" s="136"/>
      <c r="E22" s="136"/>
      <c r="F22" s="136"/>
      <c r="G22" s="136"/>
      <c r="H22" s="136"/>
      <c r="I22" s="137"/>
      <c r="J22" s="99"/>
      <c r="K22" s="100"/>
    </row>
    <row r="23" spans="1:11">
      <c r="A23" s="141"/>
      <c r="B23" s="136"/>
      <c r="C23" s="136"/>
      <c r="D23" s="136"/>
      <c r="E23" s="136"/>
      <c r="F23" s="136"/>
      <c r="G23" s="136"/>
      <c r="H23" s="136"/>
      <c r="I23" s="137"/>
      <c r="J23" s="99"/>
      <c r="K23" s="100"/>
    </row>
    <row r="24" spans="1:11">
      <c r="A24" s="141"/>
      <c r="B24" s="136"/>
      <c r="C24" s="136"/>
      <c r="D24" s="136"/>
      <c r="E24" s="136"/>
      <c r="F24" s="136"/>
      <c r="G24" s="136"/>
      <c r="H24" s="136"/>
      <c r="I24" s="137"/>
      <c r="J24" s="99"/>
      <c r="K24" s="100"/>
    </row>
    <row r="25" spans="1:11">
      <c r="A25" s="87"/>
      <c r="B25" s="91"/>
      <c r="C25" s="91"/>
      <c r="D25" s="91"/>
      <c r="E25" s="91"/>
      <c r="F25" s="91"/>
      <c r="G25" s="91"/>
      <c r="H25" s="91"/>
      <c r="I25" s="95"/>
      <c r="J25" s="101"/>
      <c r="K25" s="102"/>
    </row>
    <row r="26" spans="1:11">
      <c r="A26" s="96" t="str">
        <f>+'Factor Sheet'!F21</f>
        <v>Monitoring bystander actions</v>
      </c>
      <c r="B26" s="86"/>
      <c r="C26" s="86"/>
      <c r="D26" s="86"/>
      <c r="E26" s="86"/>
      <c r="F26" s="86"/>
      <c r="G26" s="86"/>
      <c r="H26" s="86"/>
      <c r="I26" s="93"/>
      <c r="J26" s="97" t="s">
        <v>305</v>
      </c>
      <c r="K26" s="98" t="s">
        <v>329</v>
      </c>
    </row>
    <row r="27" spans="1:11">
      <c r="A27" s="141" t="str">
        <f>+'Factor Sheet'!F21</f>
        <v>Monitoring bystander actions</v>
      </c>
      <c r="B27" s="136"/>
      <c r="C27" s="136"/>
      <c r="D27" s="136"/>
      <c r="E27" s="136"/>
      <c r="F27" s="136"/>
      <c r="G27" s="136"/>
      <c r="H27" s="136"/>
      <c r="I27" s="137"/>
      <c r="J27" s="99"/>
      <c r="K27" s="100"/>
    </row>
    <row r="28" spans="1:11">
      <c r="A28" s="141"/>
      <c r="B28" s="136"/>
      <c r="C28" s="136"/>
      <c r="D28" s="136"/>
      <c r="E28" s="136"/>
      <c r="F28" s="136"/>
      <c r="G28" s="136"/>
      <c r="H28" s="136"/>
      <c r="I28" s="137"/>
      <c r="J28" s="99"/>
      <c r="K28" s="100"/>
    </row>
    <row r="29" spans="1:11">
      <c r="A29" s="141"/>
      <c r="B29" s="136"/>
      <c r="C29" s="136"/>
      <c r="D29" s="136"/>
      <c r="E29" s="136"/>
      <c r="F29" s="136"/>
      <c r="G29" s="136"/>
      <c r="H29" s="136"/>
      <c r="I29" s="137"/>
      <c r="J29" s="99"/>
      <c r="K29" s="100"/>
    </row>
    <row r="30" spans="1:11">
      <c r="A30" s="87"/>
      <c r="B30" s="91"/>
      <c r="C30" s="91"/>
      <c r="D30" s="91"/>
      <c r="E30" s="91"/>
      <c r="F30" s="91"/>
      <c r="G30" s="91"/>
      <c r="H30" s="91"/>
      <c r="I30" s="95"/>
      <c r="J30" s="101"/>
      <c r="K30" s="102"/>
    </row>
    <row r="31" spans="1:11">
      <c r="A31" s="96" t="str">
        <f>+'Factor Sheet'!G21</f>
        <v>Provides ongoing encouragment</v>
      </c>
      <c r="B31" s="86"/>
      <c r="C31" s="86"/>
      <c r="D31" s="86"/>
      <c r="E31" s="86"/>
      <c r="F31" s="86"/>
      <c r="G31" s="86"/>
      <c r="H31" s="86"/>
      <c r="I31" s="93"/>
      <c r="J31" s="97" t="s">
        <v>305</v>
      </c>
      <c r="K31" s="98" t="s">
        <v>329</v>
      </c>
    </row>
    <row r="32" spans="1:11">
      <c r="A32" s="141" t="str">
        <f>+'Factor Sheet'!G21</f>
        <v>Provides ongoing encouragment</v>
      </c>
      <c r="B32" s="136"/>
      <c r="C32" s="136"/>
      <c r="D32" s="136"/>
      <c r="E32" s="136"/>
      <c r="F32" s="136"/>
      <c r="G32" s="136"/>
      <c r="H32" s="136"/>
      <c r="I32" s="137"/>
      <c r="J32" s="99"/>
      <c r="K32" s="100"/>
    </row>
    <row r="33" spans="1:11">
      <c r="A33" s="141"/>
      <c r="B33" s="136"/>
      <c r="C33" s="136"/>
      <c r="D33" s="136"/>
      <c r="E33" s="136"/>
      <c r="F33" s="136"/>
      <c r="G33" s="136"/>
      <c r="H33" s="136"/>
      <c r="I33" s="137"/>
      <c r="J33" s="99"/>
      <c r="K33" s="100"/>
    </row>
    <row r="34" spans="1:11">
      <c r="A34" s="141"/>
      <c r="B34" s="136"/>
      <c r="C34" s="136"/>
      <c r="D34" s="136"/>
      <c r="E34" s="136"/>
      <c r="F34" s="136"/>
      <c r="G34" s="136"/>
      <c r="H34" s="136"/>
      <c r="I34" s="137"/>
      <c r="J34" s="99"/>
      <c r="K34" s="100"/>
    </row>
    <row r="35" spans="1:11">
      <c r="A35" s="87"/>
      <c r="B35" s="91"/>
      <c r="C35" s="91"/>
      <c r="D35" s="91"/>
      <c r="E35" s="91"/>
      <c r="F35" s="91"/>
      <c r="G35" s="91"/>
      <c r="H35" s="91"/>
      <c r="I35" s="95"/>
      <c r="J35" s="101"/>
      <c r="K35" s="102"/>
    </row>
    <row r="36" spans="1:11" ht="35" customHeight="1">
      <c r="A36" s="145" t="s">
        <v>318</v>
      </c>
      <c r="B36" s="146"/>
      <c r="C36" s="146"/>
      <c r="D36" s="146"/>
      <c r="E36" s="146"/>
      <c r="F36" s="146"/>
      <c r="G36" s="146"/>
      <c r="H36" s="146"/>
      <c r="I36" s="147"/>
      <c r="J36" s="105"/>
      <c r="K36" s="106"/>
    </row>
    <row r="37" spans="1:11">
      <c r="I37" s="129" t="s">
        <v>319</v>
      </c>
      <c r="J37" s="85"/>
      <c r="K37" s="93"/>
    </row>
    <row r="38" spans="1:11">
      <c r="I38" s="130"/>
      <c r="J38" s="87"/>
      <c r="K38" s="95"/>
    </row>
  </sheetData>
  <mergeCells count="16">
    <mergeCell ref="I37:I38"/>
    <mergeCell ref="A22:I24"/>
    <mergeCell ref="A27:I29"/>
    <mergeCell ref="A32:I34"/>
    <mergeCell ref="A36:I36"/>
    <mergeCell ref="A17:I19"/>
    <mergeCell ref="A1:K1"/>
    <mergeCell ref="A6:K6"/>
    <mergeCell ref="A8:K8"/>
    <mergeCell ref="A10:I10"/>
    <mergeCell ref="A12:I14"/>
    <mergeCell ref="J9:K9"/>
    <mergeCell ref="H9:I9"/>
    <mergeCell ref="F9:G9"/>
    <mergeCell ref="D9:E9"/>
    <mergeCell ref="B9:C9"/>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15</vt:i4>
      </vt:variant>
    </vt:vector>
  </HeadingPairs>
  <TitlesOfParts>
    <vt:vector size="15" baseType="lpstr">
      <vt:lpstr>Factor Sheet</vt:lpstr>
      <vt:lpstr>Drop Down Info</vt:lpstr>
      <vt:lpstr>Team Entry</vt:lpstr>
      <vt:lpstr>Scoring</vt:lpstr>
      <vt:lpstr>OVERALL</vt:lpstr>
      <vt:lpstr>VICTIM_1</vt:lpstr>
      <vt:lpstr>VICTIM_2</vt:lpstr>
      <vt:lpstr>VICTIM_3</vt:lpstr>
      <vt:lpstr>VICTIM_4</vt:lpstr>
      <vt:lpstr>VICTIM_5</vt:lpstr>
      <vt:lpstr>VICTIM_6</vt:lpstr>
      <vt:lpstr>VICTIM_7</vt:lpstr>
      <vt:lpstr>VICTIM_8</vt:lpstr>
      <vt:lpstr>VICTIM_9</vt:lpstr>
      <vt:lpstr>BYSTANDER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dc:creator>
  <cp:lastModifiedBy>Marie-Soleil CA</cp:lastModifiedBy>
  <cp:lastPrinted>2025-05-09T22:15:04Z</cp:lastPrinted>
  <dcterms:created xsi:type="dcterms:W3CDTF">2024-01-09T23:56:23Z</dcterms:created>
  <dcterms:modified xsi:type="dcterms:W3CDTF">2026-05-28T22:55:32Z</dcterms:modified>
</cp:coreProperties>
</file>